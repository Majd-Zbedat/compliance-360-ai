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 Contrac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<sst xmlns="http://schemas.openxmlformats.org/spreadsheetml/2006/main" count="2283" uniqueCount="743">
  <si>
    <t xml:space="preserve">Contract ID</t>
  </si>
  <si>
    <t xml:space="preserve">Supplier Name</t>
  </si>
  <si>
    <t xml:space="preserve">Category</t>
  </si>
  <si>
    <t xml:space="preserve">Start Date</t>
  </si>
  <si>
    <t xml:space="preserve">End Date</t>
  </si>
  <si>
    <t xml:space="preserve">Total Contract Value ($)</t>
  </si>
  <si>
    <t xml:space="preserve">Payment Terms</t>
  </si>
  <si>
    <t xml:space="preserve">Status</t>
  </si>
  <si>
    <t xml:space="preserve">Risk Level</t>
  </si>
  <si>
    <t xml:space="preserve">Contract Manager</t>
  </si>
  <si>
    <t xml:space="preserve">SLA Uptime (%)</t>
  </si>
  <si>
    <t xml:space="preserve">Renewal Option</t>
  </si>
  <si>
    <t xml:space="preserve">Auto-Renew</t>
  </si>
  <si>
    <t xml:space="preserve">Penalty Clause</t>
  </si>
  <si>
    <t xml:space="preserve">Data Classification</t>
  </si>
  <si>
    <t xml:space="preserve">Compliance Standard</t>
  </si>
  <si>
    <t xml:space="preserve">Notes</t>
  </si>
  <si>
    <t xml:space="preserve">BNK-2026-001</t>
  </si>
  <si>
    <t xml:space="preserve">JPMorgan Chase</t>
  </si>
  <si>
    <t xml:space="preserve">Core Banking API</t>
  </si>
  <si>
    <t xml:space="preserve">2026-01-01</t>
  </si>
  <si>
    <t xml:space="preserve">2028-12-31</t>
  </si>
  <si>
    <t xml:space="preserve">Net 30</t>
  </si>
  <si>
    <t xml:space="preserve">Active</t>
  </si>
  <si>
    <t xml:space="preserve">Low</t>
  </si>
  <si>
    <t xml:space="preserve">Sarah Mitchell</t>
  </si>
  <si>
    <t xml:space="preserve">Yes</t>
  </si>
  <si>
    <t xml:space="preserve">Restricted</t>
  </si>
  <si>
    <t xml:space="preserve">PCI DSS, SOX, ISO 27001</t>
  </si>
  <si>
    <t xml:space="preserve">Enterprise banking API gateway &amp; transaction services</t>
  </si>
  <si>
    <t xml:space="preserve">BNK-2026-002</t>
  </si>
  <si>
    <t xml:space="preserve">Goldman Sachs</t>
  </si>
  <si>
    <t xml:space="preserve">Investment Banking Services</t>
  </si>
  <si>
    <t xml:space="preserve">2026-02-01</t>
  </si>
  <si>
    <t xml:space="preserve">2029-01-31</t>
  </si>
  <si>
    <t xml:space="preserve">Net 45</t>
  </si>
  <si>
    <t xml:space="preserve">James Okafor</t>
  </si>
  <si>
    <t xml:space="preserve">SOX, FINRA, ISO 27001</t>
  </si>
  <si>
    <t xml:space="preserve">Capital markets data feeds &amp; advisory platform</t>
  </si>
  <si>
    <t xml:space="preserve">BNK-2026-003</t>
  </si>
  <si>
    <t xml:space="preserve">Bank of America</t>
  </si>
  <si>
    <t xml:space="preserve">Treasury Management</t>
  </si>
  <si>
    <t xml:space="preserve">2026-01-15</t>
  </si>
  <si>
    <t xml:space="preserve">2027-12-31</t>
  </si>
  <si>
    <t xml:space="preserve">David Chen</t>
  </si>
  <si>
    <t xml:space="preserve">No</t>
  </si>
  <si>
    <t xml:space="preserve">Confidential</t>
  </si>
  <si>
    <t xml:space="preserve">PCI DSS, SOX</t>
  </si>
  <si>
    <t xml:space="preserve">Cash management &amp; liquidity reporting</t>
  </si>
  <si>
    <t xml:space="preserve">BNK-2026-004</t>
  </si>
  <si>
    <t xml:space="preserve">Citibank</t>
  </si>
  <si>
    <t xml:space="preserve">FX &amp; Payments</t>
  </si>
  <si>
    <t xml:space="preserve">2026-03-01</t>
  </si>
  <si>
    <t xml:space="preserve">2028-02-28</t>
  </si>
  <si>
    <t xml:space="preserve">Medium</t>
  </si>
  <si>
    <t xml:space="preserve">Rachel Torres</t>
  </si>
  <si>
    <t xml:space="preserve">PCI DSS, AML, SWIFT</t>
  </si>
  <si>
    <t xml:space="preserve">Multi-currency payments &amp; FX settlement</t>
  </si>
  <si>
    <t xml:space="preserve">BNK-2026-005</t>
  </si>
  <si>
    <t xml:space="preserve">Wells Fargo</t>
  </si>
  <si>
    <t xml:space="preserve">Commercial Lending</t>
  </si>
  <si>
    <t xml:space="preserve">2025-07-01</t>
  </si>
  <si>
    <t xml:space="preserve">2026-06-30</t>
  </si>
  <si>
    <t xml:space="preserve">Expiring Soon</t>
  </si>
  <si>
    <t xml:space="preserve">SOX, OCC</t>
  </si>
  <si>
    <t xml:space="preserve">Revolving credit facility management</t>
  </si>
  <si>
    <t xml:space="preserve">BNK-2026-006</t>
  </si>
  <si>
    <t xml:space="preserve">HSBC Holdings</t>
  </si>
  <si>
    <t xml:space="preserve">Cross-Border Payments</t>
  </si>
  <si>
    <t xml:space="preserve">2026-04-01</t>
  </si>
  <si>
    <t xml:space="preserve">2029-03-31</t>
  </si>
  <si>
    <t xml:space="preserve">Net 60</t>
  </si>
  <si>
    <t xml:space="preserve">AML, SWIFT, GDPR</t>
  </si>
  <si>
    <t xml:space="preserve">Global correspondent banking &amp; remittance</t>
  </si>
  <si>
    <t xml:space="preserve">BNK-2026-007</t>
  </si>
  <si>
    <t xml:space="preserve">Deutsche Bank</t>
  </si>
  <si>
    <t xml:space="preserve">Trade Finance</t>
  </si>
  <si>
    <t xml:space="preserve">Basel III, MiFID II</t>
  </si>
  <si>
    <t xml:space="preserve">Letters of credit &amp; trade finance automation</t>
  </si>
  <si>
    <t xml:space="preserve">BNK-2026-008</t>
  </si>
  <si>
    <t xml:space="preserve">BNY Mellon</t>
  </si>
  <si>
    <t xml:space="preserve">Custody &amp; Clearing</t>
  </si>
  <si>
    <t xml:space="preserve">2026-02-15</t>
  </si>
  <si>
    <t xml:space="preserve">2028-02-14</t>
  </si>
  <si>
    <t xml:space="preserve">SOX, SEC, DTCC</t>
  </si>
  <si>
    <t xml:space="preserve">Securities custody &amp; settlement services</t>
  </si>
  <si>
    <t xml:space="preserve">BNK-2026-009</t>
  </si>
  <si>
    <t xml:space="preserve">State Street</t>
  </si>
  <si>
    <t xml:space="preserve">Fund Administration</t>
  </si>
  <si>
    <t xml:space="preserve">SOX, SEC, FATCA</t>
  </si>
  <si>
    <t xml:space="preserve">Fund accounting &amp; NAV calculation</t>
  </si>
  <si>
    <t xml:space="preserve">BNK-2026-010</t>
  </si>
  <si>
    <t xml:space="preserve">Barclays</t>
  </si>
  <si>
    <t xml:space="preserve">Debt Capital Markets</t>
  </si>
  <si>
    <t xml:space="preserve">2026-03-15</t>
  </si>
  <si>
    <t xml:space="preserve">2027-03-14</t>
  </si>
  <si>
    <t xml:space="preserve">MiFID II, FCA, SOX</t>
  </si>
  <si>
    <t xml:space="preserve">Bond issuance &amp; underwriting services</t>
  </si>
  <si>
    <t xml:space="preserve">BNK-2026-011</t>
  </si>
  <si>
    <t xml:space="preserve">UBS Group</t>
  </si>
  <si>
    <t xml:space="preserve">Wealth Management API</t>
  </si>
  <si>
    <t xml:space="preserve">2026-05-01</t>
  </si>
  <si>
    <t xml:space="preserve">2029-04-30</t>
  </si>
  <si>
    <t xml:space="preserve">MiFID II, FINMA, SOX</t>
  </si>
  <si>
    <t xml:space="preserve">Private banking data integration</t>
  </si>
  <si>
    <t xml:space="preserve">BNK-2026-012</t>
  </si>
  <si>
    <t xml:space="preserve">Morgan Stanley</t>
  </si>
  <si>
    <t xml:space="preserve">Prime Brokerage</t>
  </si>
  <si>
    <t xml:space="preserve">2025-11-01</t>
  </si>
  <si>
    <t xml:space="preserve">2026-10-31</t>
  </si>
  <si>
    <t xml:space="preserve">SEC, FINRA, SOX</t>
  </si>
  <si>
    <t xml:space="preserve">Margin lending &amp; securities lending platform</t>
  </si>
  <si>
    <t xml:space="preserve">BNK-2026-013</t>
  </si>
  <si>
    <t xml:space="preserve">Credit Suisse (UBS)</t>
  </si>
  <si>
    <t xml:space="preserve">Risk Analytics</t>
  </si>
  <si>
    <t xml:space="preserve">High</t>
  </si>
  <si>
    <t xml:space="preserve">Basel III, FINMA</t>
  </si>
  <si>
    <t xml:space="preserve">Market risk modeling &amp; VaR computation</t>
  </si>
  <si>
    <t xml:space="preserve">BNK-2026-014</t>
  </si>
  <si>
    <t xml:space="preserve">Standard Chartered</t>
  </si>
  <si>
    <t xml:space="preserve">Emerging Markets Banking</t>
  </si>
  <si>
    <t xml:space="preserve">2026-06-01</t>
  </si>
  <si>
    <t xml:space="preserve">2028-05-31</t>
  </si>
  <si>
    <t xml:space="preserve">Pending</t>
  </si>
  <si>
    <t xml:space="preserve">AML, SWIFT, MAS</t>
  </si>
  <si>
    <t xml:space="preserve">Correspondent banking for APAC &amp; MEA regions</t>
  </si>
  <si>
    <t xml:space="preserve">BNK-2026-015</t>
  </si>
  <si>
    <t xml:space="preserve">Santander</t>
  </si>
  <si>
    <t xml:space="preserve">Retail Banking Integration</t>
  </si>
  <si>
    <t xml:space="preserve">2025-04-01</t>
  </si>
  <si>
    <t xml:space="preserve">2026-03-31</t>
  </si>
  <si>
    <t xml:space="preserve">Expired</t>
  </si>
  <si>
    <t xml:space="preserve">PSD2, GDPR, EBA</t>
  </si>
  <si>
    <t xml:space="preserve">Open banking API — contract expired, renewal pending</t>
  </si>
  <si>
    <t xml:space="preserve">BNK-2026-016</t>
  </si>
  <si>
    <t xml:space="preserve">ING Group</t>
  </si>
  <si>
    <t xml:space="preserve">Open Banking Platform</t>
  </si>
  <si>
    <t xml:space="preserve">2028-01-31</t>
  </si>
  <si>
    <t xml:space="preserve">PSD2, GDPR, DNB</t>
  </si>
  <si>
    <t xml:space="preserve">PSD2-compliant account aggregation &amp; payments</t>
  </si>
  <si>
    <t xml:space="preserve">BNK-2026-017</t>
  </si>
  <si>
    <t xml:space="preserve">Société Générale</t>
  </si>
  <si>
    <t xml:space="preserve">Derivatives Clearing</t>
  </si>
  <si>
    <t xml:space="preserve">EMIR, MiFID II, AMF</t>
  </si>
  <si>
    <t xml:space="preserve">OTC derivatives clearing &amp; collateral mgmt</t>
  </si>
  <si>
    <t xml:space="preserve">BNK-2026-018</t>
  </si>
  <si>
    <t xml:space="preserve">BNP Paribas</t>
  </si>
  <si>
    <t xml:space="preserve">Corporate Finance</t>
  </si>
  <si>
    <t xml:space="preserve">2029-02-28</t>
  </si>
  <si>
    <t xml:space="preserve">MiFID II, ACPR, SOX</t>
  </si>
  <si>
    <t xml:space="preserve">M&amp;A advisory &amp; syndicated loan services</t>
  </si>
  <si>
    <t xml:space="preserve">BNK-2026-019</t>
  </si>
  <si>
    <t xml:space="preserve">Mizuho Financial</t>
  </si>
  <si>
    <t xml:space="preserve">Yen Settlement Services</t>
  </si>
  <si>
    <t xml:space="preserve">2028-03-31</t>
  </si>
  <si>
    <t xml:space="preserve">JFSA, AML, BOJ</t>
  </si>
  <si>
    <t xml:space="preserve">JPY clearing &amp; settlement infrastructure</t>
  </si>
  <si>
    <t xml:space="preserve">BNK-2026-020</t>
  </si>
  <si>
    <t xml:space="preserve">MUFG</t>
  </si>
  <si>
    <t xml:space="preserve">Asian Corporate Banking</t>
  </si>
  <si>
    <t xml:space="preserve">2027-01-14</t>
  </si>
  <si>
    <t xml:space="preserve">JFSA, AML, Basel III</t>
  </si>
  <si>
    <t xml:space="preserve">Corporate credit &amp; trade finance for APAC</t>
  </si>
  <si>
    <t xml:space="preserve">BNK-2026-021</t>
  </si>
  <si>
    <t xml:space="preserve">Sumitomo Mitsui</t>
  </si>
  <si>
    <t xml:space="preserve">Project Finance</t>
  </si>
  <si>
    <t xml:space="preserve">2028-04-30</t>
  </si>
  <si>
    <t xml:space="preserve">JFSA, Basel III</t>
  </si>
  <si>
    <t xml:space="preserve">Infrastructure project finance &amp; syndication</t>
  </si>
  <si>
    <t xml:space="preserve">BNK-2026-022</t>
  </si>
  <si>
    <t xml:space="preserve">Lloyds Banking Group</t>
  </si>
  <si>
    <t xml:space="preserve">SME Banking API</t>
  </si>
  <si>
    <t xml:space="preserve">2027-01-31</t>
  </si>
  <si>
    <t xml:space="preserve">Internal</t>
  </si>
  <si>
    <t xml:space="preserve">PSD2, FCA, GDPR</t>
  </si>
  <si>
    <t xml:space="preserve">SME account data &amp; payment initiation API</t>
  </si>
  <si>
    <t xml:space="preserve">BNK-2026-023</t>
  </si>
  <si>
    <t xml:space="preserve">Royal Bank of Canada</t>
  </si>
  <si>
    <t xml:space="preserve">Capital Markets Platform</t>
  </si>
  <si>
    <t xml:space="preserve">OSFI, IIROC, SOX</t>
  </si>
  <si>
    <t xml:space="preserve">Equity &amp; fixed income trading infrastructure</t>
  </si>
  <si>
    <t xml:space="preserve">BNK-2026-024</t>
  </si>
  <si>
    <t xml:space="preserve">TD Bank</t>
  </si>
  <si>
    <t xml:space="preserve">Retail Payments</t>
  </si>
  <si>
    <t xml:space="preserve">2027-02-28</t>
  </si>
  <si>
    <t xml:space="preserve">OSFI, PCI DSS, AML</t>
  </si>
  <si>
    <t xml:space="preserve">Real-time payment rails &amp; ACH processing</t>
  </si>
  <si>
    <t xml:space="preserve">BNK-2026-025</t>
  </si>
  <si>
    <t xml:space="preserve">Scotiabank</t>
  </si>
  <si>
    <t xml:space="preserve">FX Risk Management</t>
  </si>
  <si>
    <t xml:space="preserve">OSFI, MiFID II, AML</t>
  </si>
  <si>
    <t xml:space="preserve">Hedging &amp; FX exposure management platform</t>
  </si>
  <si>
    <t xml:space="preserve">BNK-2026-026</t>
  </si>
  <si>
    <t xml:space="preserve">ANZ Banking</t>
  </si>
  <si>
    <t xml:space="preserve">Asia Pacific Treasury</t>
  </si>
  <si>
    <t xml:space="preserve">APRA, AML, Basel III</t>
  </si>
  <si>
    <t xml:space="preserve">APAC multi-currency treasury operations</t>
  </si>
  <si>
    <t xml:space="preserve">BNK-2026-027</t>
  </si>
  <si>
    <t xml:space="preserve">Commonwealth Bank</t>
  </si>
  <si>
    <t xml:space="preserve">Digital Payments</t>
  </si>
  <si>
    <t xml:space="preserve">APRA, PCI DSS, AML</t>
  </si>
  <si>
    <t xml:space="preserve">NPP instant payments &amp; digital wallet API</t>
  </si>
  <si>
    <t xml:space="preserve">BNK-2026-028</t>
  </si>
  <si>
    <t xml:space="preserve">Westpac</t>
  </si>
  <si>
    <t xml:space="preserve">Mortgage Servicing</t>
  </si>
  <si>
    <t xml:space="preserve">2025-10-01</t>
  </si>
  <si>
    <t xml:space="preserve">2026-09-30</t>
  </si>
  <si>
    <t xml:space="preserve">APRA, NCCP, AML</t>
  </si>
  <si>
    <t xml:space="preserve">Home loan origination &amp; servicing platform</t>
  </si>
  <si>
    <t xml:space="preserve">BNK-2026-029</t>
  </si>
  <si>
    <t xml:space="preserve">DBS Bank</t>
  </si>
  <si>
    <t xml:space="preserve">Digital Banking Platform</t>
  </si>
  <si>
    <t xml:space="preserve">MAS, AML, PCI DSS</t>
  </si>
  <si>
    <t xml:space="preserve">Singapore digital banking &amp; API marketplace</t>
  </si>
  <si>
    <t xml:space="preserve">BNK-2026-030</t>
  </si>
  <si>
    <t xml:space="preserve">OCBC Bank</t>
  </si>
  <si>
    <t xml:space="preserve">SME Trade Finance</t>
  </si>
  <si>
    <t xml:space="preserve">2027-04-30</t>
  </si>
  <si>
    <t xml:space="preserve">MAS, AML, SWIFT</t>
  </si>
  <si>
    <t xml:space="preserve">Trade finance &amp; supply chain financing</t>
  </si>
  <si>
    <t xml:space="preserve">BNK-2026-031</t>
  </si>
  <si>
    <t xml:space="preserve">UniCredit</t>
  </si>
  <si>
    <t xml:space="preserve">European Corporate Banking</t>
  </si>
  <si>
    <t xml:space="preserve">ECB, MiFID II, AML</t>
  </si>
  <si>
    <t xml:space="preserve">Pan-European corporate banking services</t>
  </si>
  <si>
    <t xml:space="preserve">BNK-2026-032</t>
  </si>
  <si>
    <t xml:space="preserve">Intesa Sanpaolo</t>
  </si>
  <si>
    <t xml:space="preserve">Private Banking</t>
  </si>
  <si>
    <t xml:space="preserve">Banca d'Italia, MiFID II</t>
  </si>
  <si>
    <t xml:space="preserve">UHNW wealth management &amp; custody</t>
  </si>
  <si>
    <t xml:space="preserve">BNK-2026-033</t>
  </si>
  <si>
    <t xml:space="preserve">Credit Agricole</t>
  </si>
  <si>
    <t xml:space="preserve">Agricultural Finance</t>
  </si>
  <si>
    <t xml:space="preserve">2029-05-31</t>
  </si>
  <si>
    <t xml:space="preserve">AMF, EBA, AML</t>
  </si>
  <si>
    <t xml:space="preserve">Agri-finance &amp; green bond issuance</t>
  </si>
  <si>
    <t xml:space="preserve">BNK-2026-034</t>
  </si>
  <si>
    <t xml:space="preserve">Rabobank</t>
  </si>
  <si>
    <t xml:space="preserve">Structured Trade Finance</t>
  </si>
  <si>
    <t xml:space="preserve">DNB, AML, Basel III</t>
  </si>
  <si>
    <t xml:space="preserve">Commodity trade finance &amp; warehouse receipts</t>
  </si>
  <si>
    <t xml:space="preserve">BNK-2026-035</t>
  </si>
  <si>
    <t xml:space="preserve">ABN AMRO</t>
  </si>
  <si>
    <t xml:space="preserve">Green Finance</t>
  </si>
  <si>
    <t xml:space="preserve">DNB, PSD2, SFDR</t>
  </si>
  <si>
    <t xml:space="preserve">ESG-linked loan structuring &amp; reporting</t>
  </si>
  <si>
    <t xml:space="preserve">BNK-2026-036</t>
  </si>
  <si>
    <t xml:space="preserve">Nordea Bank</t>
  </si>
  <si>
    <t xml:space="preserve">Nordic Payments</t>
  </si>
  <si>
    <t xml:space="preserve">FIN-FSA, PSD2, AML</t>
  </si>
  <si>
    <t xml:space="preserve">Scandinavian instant payments &amp; SEPA</t>
  </si>
  <si>
    <t xml:space="preserve">BNK-2026-037</t>
  </si>
  <si>
    <t xml:space="preserve">Erste Group</t>
  </si>
  <si>
    <t xml:space="preserve">Central European Banking</t>
  </si>
  <si>
    <t xml:space="preserve">FMA, AML, PSD2</t>
  </si>
  <si>
    <t xml:space="preserve">CEE retail &amp; corporate banking integration</t>
  </si>
  <si>
    <t xml:space="preserve">BNK-2026-038</t>
  </si>
  <si>
    <t xml:space="preserve">KBC Group</t>
  </si>
  <si>
    <t xml:space="preserve">Insurance-Banking</t>
  </si>
  <si>
    <t xml:space="preserve">NBB, FSMA, IDD</t>
  </si>
  <si>
    <t xml:space="preserve">Bancassurance platform &amp; bundled products</t>
  </si>
  <si>
    <t xml:space="preserve">BNK-2026-039</t>
  </si>
  <si>
    <t xml:space="preserve">Commerzbank</t>
  </si>
  <si>
    <t xml:space="preserve">Trade &amp; Supply Chain</t>
  </si>
  <si>
    <t xml:space="preserve">2028-03-14</t>
  </si>
  <si>
    <t xml:space="preserve">BaFin, AML, Basel III</t>
  </si>
  <si>
    <t xml:space="preserve">Supply chain finance &amp; receivables discounting</t>
  </si>
  <si>
    <t xml:space="preserve">BNK-2026-040</t>
  </si>
  <si>
    <t xml:space="preserve">Silicon Valley Bank (FDIC)</t>
  </si>
  <si>
    <t xml:space="preserve">Startup Banking API</t>
  </si>
  <si>
    <t xml:space="preserve">2025-06-01</t>
  </si>
  <si>
    <t xml:space="preserve">2026-05-31</t>
  </si>
  <si>
    <t xml:space="preserve">FDIC, OCC, AML</t>
  </si>
  <si>
    <t xml:space="preserve">Startup &amp; VC banking services — high-risk flag</t>
  </si>
  <si>
    <t xml:space="preserve">BNK-2026-041</t>
  </si>
  <si>
    <t xml:space="preserve">Stripe Treasury</t>
  </si>
  <si>
    <t xml:space="preserve">Embedded Finance</t>
  </si>
  <si>
    <t xml:space="preserve">PCI DSS, FinCEN, OCC</t>
  </si>
  <si>
    <t xml:space="preserve">Banking-as-a-Service for embedded finance</t>
  </si>
  <si>
    <t xml:space="preserve">BNK-2026-042</t>
  </si>
  <si>
    <t xml:space="preserve">Brex Inc</t>
  </si>
  <si>
    <t xml:space="preserve">Corporate Cards &amp; Banking</t>
  </si>
  <si>
    <t xml:space="preserve">FDIC, PCI DSS</t>
  </si>
  <si>
    <t xml:space="preserve">Corporate spend management &amp; virtual cards</t>
  </si>
  <si>
    <t xml:space="preserve">BNK-2026-043</t>
  </si>
  <si>
    <t xml:space="preserve">Venture Debt Facility</t>
  </si>
  <si>
    <t xml:space="preserve">2027-03-31</t>
  </si>
  <si>
    <t xml:space="preserve">FDIC, OCC, SOX</t>
  </si>
  <si>
    <t xml:space="preserve">Venture debt — enhanced due diligence required</t>
  </si>
  <si>
    <t xml:space="preserve">BNK-2026-044</t>
  </si>
  <si>
    <t xml:space="preserve">Signature Bank (FDIC)</t>
  </si>
  <si>
    <t xml:space="preserve">Digital Asset Custody</t>
  </si>
  <si>
    <t xml:space="preserve">2025-09-01</t>
  </si>
  <si>
    <t xml:space="preserve">2026-08-31</t>
  </si>
  <si>
    <t xml:space="preserve">FDIC, FinCEN, BSA</t>
  </si>
  <si>
    <t xml:space="preserve">Crypto custody services — regulatory review ongoing</t>
  </si>
  <si>
    <t xml:space="preserve">BNK-2026-045</t>
  </si>
  <si>
    <t xml:space="preserve">Bankinter</t>
  </si>
  <si>
    <t xml:space="preserve">Digital Lending API</t>
  </si>
  <si>
    <t xml:space="preserve">BdE, PSD2, GDPR</t>
  </si>
  <si>
    <t xml:space="preserve">Consumer digital lending &amp; credit scoring API</t>
  </si>
  <si>
    <t xml:space="preserve">BNK-2026-046</t>
  </si>
  <si>
    <t xml:space="preserve">Mediobanca</t>
  </si>
  <si>
    <t xml:space="preserve">Investment Banking Advisory</t>
  </si>
  <si>
    <t xml:space="preserve">M&amp;A advisory for European mid-market</t>
  </si>
  <si>
    <t xml:space="preserve">BNK-2026-047</t>
  </si>
  <si>
    <t xml:space="preserve">Handelsbanken</t>
  </si>
  <si>
    <t xml:space="preserve">Relationship Banking</t>
  </si>
  <si>
    <t xml:space="preserve">FI, AML, PSD2</t>
  </si>
  <si>
    <t xml:space="preserve">Decentralised Nordic corporate banking model</t>
  </si>
  <si>
    <t xml:space="preserve">BNK-2026-048</t>
  </si>
  <si>
    <t xml:space="preserve">Banco Bradesco</t>
  </si>
  <si>
    <t xml:space="preserve">Brazilian Payments</t>
  </si>
  <si>
    <t xml:space="preserve">BCB, PIX, AML</t>
  </si>
  <si>
    <t xml:space="preserve">PIX instant payments &amp; Open Finance Brazil</t>
  </si>
  <si>
    <t xml:space="preserve">BNK-2026-049</t>
  </si>
  <si>
    <t xml:space="preserve">Itaú Unibanco</t>
  </si>
  <si>
    <t xml:space="preserve">LatAm Corporate Banking</t>
  </si>
  <si>
    <t xml:space="preserve">BCB, CVM, AML</t>
  </si>
  <si>
    <t xml:space="preserve">Syndicated loans &amp; bond issuance in LatAm</t>
  </si>
  <si>
    <t xml:space="preserve">BNK-2026-050</t>
  </si>
  <si>
    <t xml:space="preserve">Capitec Bank</t>
  </si>
  <si>
    <t xml:space="preserve">Digital Retail Banking</t>
  </si>
  <si>
    <t xml:space="preserve">SARB, NCR, POPIA</t>
  </si>
  <si>
    <t xml:space="preserve">Digital savings &amp; micro-lending platform</t>
  </si>
  <si>
    <t xml:space="preserve">BNK-2026-051</t>
  </si>
  <si>
    <t xml:space="preserve">Ally Financial</t>
  </si>
  <si>
    <t xml:space="preserve">Digital Auto Lending</t>
  </si>
  <si>
    <t xml:space="preserve">Automated vehicle loan origination platform</t>
  </si>
  <si>
    <t xml:space="preserve">BNK-2026-052</t>
  </si>
  <si>
    <t xml:space="preserve">Capital One</t>
  </si>
  <si>
    <t xml:space="preserve">AI-Driven Credit Scoring</t>
  </si>
  <si>
    <t xml:space="preserve">ML credit risk models for consumer lending</t>
  </si>
  <si>
    <t xml:space="preserve">BNK-2026-053</t>
  </si>
  <si>
    <t xml:space="preserve">Discover Financial</t>
  </si>
  <si>
    <t xml:space="preserve">Card Payment Processing</t>
  </si>
  <si>
    <t xml:space="preserve">Issuer processing &amp; fraud detection</t>
  </si>
  <si>
    <t xml:space="preserve">BNK-2026-054</t>
  </si>
  <si>
    <t xml:space="preserve">American Express</t>
  </si>
  <si>
    <t xml:space="preserve">B2B Payments Network</t>
  </si>
  <si>
    <t xml:space="preserve">2025-01-15</t>
  </si>
  <si>
    <t xml:space="preserve">2026-01-14</t>
  </si>
  <si>
    <t xml:space="preserve">Basel III, NIST CSF</t>
  </si>
  <si>
    <t xml:space="preserve">Corporate card &amp; supplier payment rails</t>
  </si>
  <si>
    <t xml:space="preserve">BNK-2026-055</t>
  </si>
  <si>
    <t xml:space="preserve">Synchrony Financial</t>
  </si>
  <si>
    <t xml:space="preserve">Retail Credit Programs</t>
  </si>
  <si>
    <t xml:space="preserve">Michael Torres</t>
  </si>
  <si>
    <t xml:space="preserve">Co-brand credit card management platform</t>
  </si>
  <si>
    <t xml:space="preserve">BNK-2026-056</t>
  </si>
  <si>
    <t xml:space="preserve">Truist Financial</t>
  </si>
  <si>
    <t xml:space="preserve">Regional Corporate Banking</t>
  </si>
  <si>
    <t xml:space="preserve">2025-03-01</t>
  </si>
  <si>
    <t xml:space="preserve">2026-02-28</t>
  </si>
  <si>
    <t xml:space="preserve">Mid-market lending &amp; cash management</t>
  </si>
  <si>
    <t xml:space="preserve">BNK-2026-057</t>
  </si>
  <si>
    <t xml:space="preserve">PNC Financial</t>
  </si>
  <si>
    <t xml:space="preserve">Treasury &amp; Liquidity API</t>
  </si>
  <si>
    <t xml:space="preserve">Real-time cash positioning &amp; forecasting</t>
  </si>
  <si>
    <t xml:space="preserve">BNK-2026-058</t>
  </si>
  <si>
    <t xml:space="preserve">U.S. Bancorp</t>
  </si>
  <si>
    <t xml:space="preserve">Merchant Acquiring</t>
  </si>
  <si>
    <t xml:space="preserve">Point-of-sale &amp; e-commerce acquiring services</t>
  </si>
  <si>
    <t xml:space="preserve">BNK-2026-059</t>
  </si>
  <si>
    <t xml:space="preserve">Fifth Third Bank</t>
  </si>
  <si>
    <t xml:space="preserve">Small Business Banking</t>
  </si>
  <si>
    <t xml:space="preserve">SME deposit &amp; lending platform integration</t>
  </si>
  <si>
    <t xml:space="preserve">BNK-2026-060</t>
  </si>
  <si>
    <t xml:space="preserve">KeyCorp</t>
  </si>
  <si>
    <t xml:space="preserve">Investment Management</t>
  </si>
  <si>
    <t xml:space="preserve">Institutional asset management &amp; custody</t>
  </si>
  <si>
    <t xml:space="preserve">BNK-2026-061</t>
  </si>
  <si>
    <t xml:space="preserve">Regions Financial</t>
  </si>
  <si>
    <t xml:space="preserve">Retail Banking API</t>
  </si>
  <si>
    <t xml:space="preserve">Consumer account &amp; loan servicing API</t>
  </si>
  <si>
    <t xml:space="preserve">BNK-2026-062</t>
  </si>
  <si>
    <t xml:space="preserve">Huntington Bancshares</t>
  </si>
  <si>
    <t xml:space="preserve">Commercial Real Estate</t>
  </si>
  <si>
    <t xml:space="preserve">CRE loan origination &amp; monitoring</t>
  </si>
  <si>
    <t xml:space="preserve">BNK-2026-063</t>
  </si>
  <si>
    <t xml:space="preserve">M&amp;T Bank</t>
  </si>
  <si>
    <t xml:space="preserve">Compliance Monitoring</t>
  </si>
  <si>
    <t xml:space="preserve">BSA/AML transaction monitoring platform</t>
  </si>
  <si>
    <t xml:space="preserve">BNK-2026-064</t>
  </si>
  <si>
    <t xml:space="preserve">Comerica</t>
  </si>
  <si>
    <t xml:space="preserve">International Trade</t>
  </si>
  <si>
    <t xml:space="preserve">Export financing &amp; foreign currency accounts</t>
  </si>
  <si>
    <t xml:space="preserve">BNK-2026-065</t>
  </si>
  <si>
    <t xml:space="preserve">Zions Bancorporation</t>
  </si>
  <si>
    <t xml:space="preserve">SBA Lending</t>
  </si>
  <si>
    <t xml:space="preserve">Small business administration loan processing</t>
  </si>
  <si>
    <t xml:space="preserve">BNK-2026-066</t>
  </si>
  <si>
    <t xml:space="preserve">SVB Financial (FDIC)</t>
  </si>
  <si>
    <t xml:space="preserve">Life Sciences Banking</t>
  </si>
  <si>
    <t xml:space="preserve">Biotech &amp; pharma sector lending services</t>
  </si>
  <si>
    <t xml:space="preserve">BNK-2026-067</t>
  </si>
  <si>
    <t xml:space="preserve">East West Bancorp</t>
  </si>
  <si>
    <t xml:space="preserve">Asia-Pacific Bridge Banking</t>
  </si>
  <si>
    <t xml:space="preserve">US-Asia cross-border remittance &amp; trade</t>
  </si>
  <si>
    <t xml:space="preserve">BNK-2026-068</t>
  </si>
  <si>
    <t xml:space="preserve">Glacier Bancorp</t>
  </si>
  <si>
    <t xml:space="preserve">Community Banking API</t>
  </si>
  <si>
    <t xml:space="preserve">Rural &amp; community bank core system integration</t>
  </si>
  <si>
    <t xml:space="preserve">BNK-2026-069</t>
  </si>
  <si>
    <t xml:space="preserve">Heartland Financial</t>
  </si>
  <si>
    <t xml:space="preserve">Agricultural Banking</t>
  </si>
  <si>
    <t xml:space="preserve">Farm operating loans &amp; crop insurance</t>
  </si>
  <si>
    <t xml:space="preserve">BNK-2026-070</t>
  </si>
  <si>
    <t xml:space="preserve">Renasant Corporation</t>
  </si>
  <si>
    <t xml:space="preserve">Residential mortgage origination &amp; servicing</t>
  </si>
  <si>
    <t xml:space="preserve">BNK-2026-071</t>
  </si>
  <si>
    <t xml:space="preserve">Bank OZK</t>
  </si>
  <si>
    <t xml:space="preserve">Construction Lending</t>
  </si>
  <si>
    <t xml:space="preserve">SOX, CCAR, DFAST</t>
  </si>
  <si>
    <t xml:space="preserve">Real estate construction loan administration</t>
  </si>
  <si>
    <t xml:space="preserve">BNK-2026-072</t>
  </si>
  <si>
    <t xml:space="preserve">Brookline Bancorp</t>
  </si>
  <si>
    <t xml:space="preserve">Business term loans &amp; revolving credit</t>
  </si>
  <si>
    <t xml:space="preserve">BNK-2026-073</t>
  </si>
  <si>
    <t xml:space="preserve">Wintrust Financial</t>
  </si>
  <si>
    <t xml:space="preserve">Private Label Banking</t>
  </si>
  <si>
    <t xml:space="preserve">Affinity banking for professional associations</t>
  </si>
  <si>
    <t xml:space="preserve">BNK-2026-074</t>
  </si>
  <si>
    <t xml:space="preserve">Glacier Hills Bank</t>
  </si>
  <si>
    <t xml:space="preserve">Wealth Management</t>
  </si>
  <si>
    <t xml:space="preserve">FINRA, SEC, AML</t>
  </si>
  <si>
    <t xml:space="preserve">Trust &amp; estate planning services</t>
  </si>
  <si>
    <t xml:space="preserve">BNK-2026-075</t>
  </si>
  <si>
    <t xml:space="preserve">First Horizon</t>
  </si>
  <si>
    <t xml:space="preserve">Capital Markets</t>
  </si>
  <si>
    <t xml:space="preserve">Fixed income trading &amp; structured products</t>
  </si>
  <si>
    <t xml:space="preserve">BNK-2026-076</t>
  </si>
  <si>
    <t xml:space="preserve">Cadence Bank</t>
  </si>
  <si>
    <t xml:space="preserve">Corporate Treasury</t>
  </si>
  <si>
    <t xml:space="preserve">Treasury management &amp; escrow services</t>
  </si>
  <si>
    <t xml:space="preserve">BNK-2026-077</t>
  </si>
  <si>
    <t xml:space="preserve">Synovus Financial</t>
  </si>
  <si>
    <t xml:space="preserve">Payments Innovation</t>
  </si>
  <si>
    <t xml:space="preserve">RTP &amp; FedNow instant payment enablement</t>
  </si>
  <si>
    <t xml:space="preserve">BNK-2026-078</t>
  </si>
  <si>
    <t xml:space="preserve">Atlantic Union Bank</t>
  </si>
  <si>
    <t xml:space="preserve">Digital Onboarding</t>
  </si>
  <si>
    <t xml:space="preserve">KYC/AML digital account opening platform</t>
  </si>
  <si>
    <t xml:space="preserve">BNK-2026-079</t>
  </si>
  <si>
    <t xml:space="preserve">Veritex Community Bank</t>
  </si>
  <si>
    <t xml:space="preserve">Real Estate Finance</t>
  </si>
  <si>
    <t xml:space="preserve">Commercial property bridge lending</t>
  </si>
  <si>
    <t xml:space="preserve">BNK-2026-080</t>
  </si>
  <si>
    <t xml:space="preserve">Glacier Savings</t>
  </si>
  <si>
    <t xml:space="preserve">Consumer Deposits</t>
  </si>
  <si>
    <t xml:space="preserve">High-yield savings &amp; CD management API</t>
  </si>
  <si>
    <t xml:space="preserve">BNK-2026-081</t>
  </si>
  <si>
    <t xml:space="preserve">Pinnacle Financial</t>
  </si>
  <si>
    <t xml:space="preserve">Entrepreneur Banking</t>
  </si>
  <si>
    <t xml:space="preserve">Startup &amp; founder banking services</t>
  </si>
  <si>
    <t xml:space="preserve">BNK-2026-082</t>
  </si>
  <si>
    <t xml:space="preserve">Prosperity Bancshares</t>
  </si>
  <si>
    <t xml:space="preserve">Acquisition Integration</t>
  </si>
  <si>
    <t xml:space="preserve">Core banking system migration services</t>
  </si>
  <si>
    <t xml:space="preserve">BNK-2026-083</t>
  </si>
  <si>
    <t xml:space="preserve">Glacier Federal</t>
  </si>
  <si>
    <t xml:space="preserve">Regulatory Reporting</t>
  </si>
  <si>
    <t xml:space="preserve">Call report &amp; HMDA filing automation</t>
  </si>
  <si>
    <t xml:space="preserve">BNK-2026-084</t>
  </si>
  <si>
    <t xml:space="preserve">HomeStreet Bank</t>
  </si>
  <si>
    <t xml:space="preserve">Jumbo Mortgage</t>
  </si>
  <si>
    <t xml:space="preserve">High-balance home loan origination</t>
  </si>
  <si>
    <t xml:space="preserve">BNK-2026-085</t>
  </si>
  <si>
    <t xml:space="preserve">Pacific Premier</t>
  </si>
  <si>
    <t xml:space="preserve">Business Banking</t>
  </si>
  <si>
    <t xml:space="preserve">Owner-occupied CRE &amp; equipment finance</t>
  </si>
  <si>
    <t xml:space="preserve">BNK-2026-086</t>
  </si>
  <si>
    <t xml:space="preserve">Seacoast Banking</t>
  </si>
  <si>
    <t xml:space="preserve">Open Banking API</t>
  </si>
  <si>
    <t xml:space="preserve">PSD2-style account data sharing platform</t>
  </si>
  <si>
    <t xml:space="preserve">BNK-2026-087</t>
  </si>
  <si>
    <t xml:space="preserve">Independent Bank Group</t>
  </si>
  <si>
    <t xml:space="preserve">Correspondent Banking</t>
  </si>
  <si>
    <t xml:space="preserve">Fed funds &amp; correspondent settlement</t>
  </si>
  <si>
    <t xml:space="preserve">BNK-2026-088</t>
  </si>
  <si>
    <t xml:space="preserve">Centerstate Bank</t>
  </si>
  <si>
    <t xml:space="preserve">Treasury Operations</t>
  </si>
  <si>
    <t xml:space="preserve">Lockbox &amp; remote deposit capture</t>
  </si>
  <si>
    <t xml:space="preserve">BNK-2026-089</t>
  </si>
  <si>
    <t xml:space="preserve">Veritex Holdings</t>
  </si>
  <si>
    <t xml:space="preserve">Loan Syndications</t>
  </si>
  <si>
    <t xml:space="preserve">Participation &amp; syndicated loan management</t>
  </si>
  <si>
    <t xml:space="preserve">BNK-2026-090</t>
  </si>
  <si>
    <t xml:space="preserve">Glacier Commercial</t>
  </si>
  <si>
    <t xml:space="preserve">Trade Services</t>
  </si>
  <si>
    <t xml:space="preserve">Import LC &amp; documentary collection</t>
  </si>
  <si>
    <t xml:space="preserve">BNK-2026-091</t>
  </si>
  <si>
    <t xml:space="preserve">CrossFirst Bankshares</t>
  </si>
  <si>
    <t xml:space="preserve">Energy Lending</t>
  </si>
  <si>
    <t xml:space="preserve">Oil &amp; gas reserve-based lending</t>
  </si>
  <si>
    <t xml:space="preserve">BNK-2026-092</t>
  </si>
  <si>
    <t xml:space="preserve">Glacier National</t>
  </si>
  <si>
    <t xml:space="preserve">Zelle &amp; P2P payment integration</t>
  </si>
  <si>
    <t xml:space="preserve">BNK-2026-093</t>
  </si>
  <si>
    <t xml:space="preserve">Texas Capital Bank</t>
  </si>
  <si>
    <t xml:space="preserve">Mortgage Warehouse</t>
  </si>
  <si>
    <t xml:space="preserve">Warehouse lending for mortgage companies</t>
  </si>
  <si>
    <t xml:space="preserve">BNK-2026-094</t>
  </si>
  <si>
    <t xml:space="preserve">National Bank Holdings</t>
  </si>
  <si>
    <t xml:space="preserve">FDIC-Assisted</t>
  </si>
  <si>
    <t xml:space="preserve">Legacy portfolio management &amp; wind-down</t>
  </si>
  <si>
    <t xml:space="preserve">BNK-2026-095</t>
  </si>
  <si>
    <t xml:space="preserve">Bancorp Inc</t>
  </si>
  <si>
    <t xml:space="preserve">Prepaid Cards</t>
  </si>
  <si>
    <t xml:space="preserve">White-label prepaid debit card issuing</t>
  </si>
  <si>
    <t xml:space="preserve">BNK-2026-096</t>
  </si>
  <si>
    <t xml:space="preserve">Green Dot Corp</t>
  </si>
  <si>
    <t xml:space="preserve">Neobank Infrastructure</t>
  </si>
  <si>
    <t xml:space="preserve">BaaS for fintech prepaid products</t>
  </si>
  <si>
    <t xml:space="preserve">BNK-2026-097</t>
  </si>
  <si>
    <t xml:space="preserve">Sutton Bank</t>
  </si>
  <si>
    <t xml:space="preserve">Card Issuing</t>
  </si>
  <si>
    <t xml:space="preserve">Debit &amp; prepaid card issuing services</t>
  </si>
  <si>
    <t xml:space="preserve">BNK-2026-098</t>
  </si>
  <si>
    <t xml:space="preserve">Pathward Financial</t>
  </si>
  <si>
    <t xml:space="preserve">Embedded Banking</t>
  </si>
  <si>
    <t xml:space="preserve">Banking-as-a-Service core ledger</t>
  </si>
  <si>
    <t xml:space="preserve">BNK-2026-099</t>
  </si>
  <si>
    <t xml:space="preserve">Column N.A.</t>
  </si>
  <si>
    <t xml:space="preserve">Developer Bank</t>
  </si>
  <si>
    <t xml:space="preserve">API-first bank for fintech builders</t>
  </si>
  <si>
    <t xml:space="preserve">BNK-2026-100</t>
  </si>
  <si>
    <t xml:space="preserve">Lead Bank</t>
  </si>
  <si>
    <t xml:space="preserve">Fintech Partnership</t>
  </si>
  <si>
    <t xml:space="preserve">Banking charter for BaaS partnerships</t>
  </si>
  <si>
    <t xml:space="preserve">BNK-2026-101</t>
  </si>
  <si>
    <t xml:space="preserve">Blue Ridge Bank</t>
  </si>
  <si>
    <t xml:space="preserve">BaaS Compliance</t>
  </si>
  <si>
    <t xml:space="preserve">Regulatory oversight for fintech partners</t>
  </si>
  <si>
    <t xml:space="preserve">BNK-2026-102</t>
  </si>
  <si>
    <t xml:space="preserve">Piermont Bank</t>
  </si>
  <si>
    <t xml:space="preserve">Digital Business Bank</t>
  </si>
  <si>
    <t xml:space="preserve">API banking for SMEs &amp; startups</t>
  </si>
  <si>
    <t xml:space="preserve">BNK-2026-103</t>
  </si>
  <si>
    <t xml:space="preserve">Grasshopper Bank</t>
  </si>
  <si>
    <t xml:space="preserve">Venture Banking</t>
  </si>
  <si>
    <t xml:space="preserve">VC-backed startup banking services</t>
  </si>
  <si>
    <t xml:space="preserve">BNK-2026-104</t>
  </si>
  <si>
    <t xml:space="preserve">Vast Bank</t>
  </si>
  <si>
    <t xml:space="preserve">Crypto-Friendly Banking</t>
  </si>
  <si>
    <t xml:space="preserve">Digital asset &amp; crypto custody integration</t>
  </si>
  <si>
    <t xml:space="preserve">BNK-2026-105</t>
  </si>
  <si>
    <t xml:space="preserve">Quontic Bank</t>
  </si>
  <si>
    <t xml:space="preserve">Adaptive Mortgage</t>
  </si>
  <si>
    <t xml:space="preserve">Non-QM &amp; alternative mortgage programs</t>
  </si>
  <si>
    <t xml:space="preserve">BNK-2026-106</t>
  </si>
  <si>
    <t xml:space="preserve">Customers Bancorp</t>
  </si>
  <si>
    <t xml:space="preserve">Instant Payments</t>
  </si>
  <si>
    <t xml:space="preserve">Real-time payment &amp; FedNow adoption</t>
  </si>
  <si>
    <t xml:space="preserve">BNK-2026-107</t>
  </si>
  <si>
    <t xml:space="preserve">Flagstar Bank</t>
  </si>
  <si>
    <t xml:space="preserve">Mortgage Capital Markets</t>
  </si>
  <si>
    <t xml:space="preserve">Mortgage-backed securities &amp; servicing</t>
  </si>
  <si>
    <t xml:space="preserve">BNK-2026-108</t>
  </si>
  <si>
    <t xml:space="preserve">New York Community Bank</t>
  </si>
  <si>
    <t xml:space="preserve">Multi-family Lending</t>
  </si>
  <si>
    <t xml:space="preserve">Rent-stabilized apartment financing</t>
  </si>
  <si>
    <t xml:space="preserve">BNK-2026-109</t>
  </si>
  <si>
    <t xml:space="preserve">Dime Community Bank</t>
  </si>
  <si>
    <t xml:space="preserve">Small Business CRE</t>
  </si>
  <si>
    <t xml:space="preserve">Owner-occupied commercial real estate</t>
  </si>
  <si>
    <t xml:space="preserve">BNK-2026-110</t>
  </si>
  <si>
    <t xml:space="preserve">Amalgamated Bank</t>
  </si>
  <si>
    <t xml:space="preserve">ESG Banking</t>
  </si>
  <si>
    <t xml:space="preserve">Socially responsible investment &amp; lending</t>
  </si>
  <si>
    <t xml:space="preserve">BNK-2026-111</t>
  </si>
  <si>
    <t xml:space="preserve">Climate First Bank</t>
  </si>
  <si>
    <t xml:space="preserve">Green Mortgage</t>
  </si>
  <si>
    <t xml:space="preserve">Solar &amp; energy-efficiency home loans</t>
  </si>
  <si>
    <t xml:space="preserve">BNK-2026-112</t>
  </si>
  <si>
    <t xml:space="preserve">Beneficial State Bank</t>
  </si>
  <si>
    <t xml:space="preserve">CDFI Lending</t>
  </si>
  <si>
    <t xml:space="preserve">Community development lending platform</t>
  </si>
  <si>
    <t xml:space="preserve">BNK-2026-113</t>
  </si>
  <si>
    <t xml:space="preserve">Self-Help Credit Union</t>
  </si>
  <si>
    <t xml:space="preserve">Micro-lending</t>
  </si>
  <si>
    <t xml:space="preserve">Micro-business &amp; community development loans</t>
  </si>
  <si>
    <t xml:space="preserve">BNK-2026-114</t>
  </si>
  <si>
    <t xml:space="preserve">Southern Bancshares</t>
  </si>
  <si>
    <t xml:space="preserve">Rural Banking</t>
  </si>
  <si>
    <t xml:space="preserve">Agricultural &amp; rural community banking</t>
  </si>
  <si>
    <t xml:space="preserve">BNK-2026-115</t>
  </si>
  <si>
    <t xml:space="preserve">Carter Bank</t>
  </si>
  <si>
    <t xml:space="preserve">Core Modernization</t>
  </si>
  <si>
    <t xml:space="preserve">Legacy core banking system replacement</t>
  </si>
  <si>
    <t xml:space="preserve">BNK-2026-116</t>
  </si>
  <si>
    <t xml:space="preserve">Enterprise Bancorp</t>
  </si>
  <si>
    <t xml:space="preserve">Commercial Deposits</t>
  </si>
  <si>
    <t xml:space="preserve">Business checking &amp; treasury services</t>
  </si>
  <si>
    <t xml:space="preserve">BNK-2026-117</t>
  </si>
  <si>
    <t xml:space="preserve">Bar Harbor Bankshares</t>
  </si>
  <si>
    <t xml:space="preserve">Coastal Banking</t>
  </si>
  <si>
    <t xml:space="preserve">Marine &amp; seasonal business lending</t>
  </si>
  <si>
    <t xml:space="preserve">BNK-2026-118</t>
  </si>
  <si>
    <t xml:space="preserve">Sandy Spring Bancorp</t>
  </si>
  <si>
    <t xml:space="preserve">Mid-Atlantic Banking</t>
  </si>
  <si>
    <t xml:space="preserve">Maryland &amp; Virginia corporate banking</t>
  </si>
  <si>
    <t xml:space="preserve">BNK-2026-119</t>
  </si>
  <si>
    <t xml:space="preserve">Glacier Valley Bank</t>
  </si>
  <si>
    <t xml:space="preserve">Equipment Finance</t>
  </si>
  <si>
    <t xml:space="preserve">Medical &amp; manufacturing equipment loans</t>
  </si>
  <si>
    <t xml:space="preserve">BNK-2026-120</t>
  </si>
  <si>
    <t xml:space="preserve">Riverview Bancorp</t>
  </si>
  <si>
    <t xml:space="preserve">Pacific Northwest Banking</t>
  </si>
  <si>
    <t xml:space="preserve">Commercial real estate in WA &amp; OR</t>
  </si>
  <si>
    <t xml:space="preserve">BNK-2026-121</t>
  </si>
  <si>
    <t xml:space="preserve">Territorial Savings</t>
  </si>
  <si>
    <t xml:space="preserve">Hawaii Banking</t>
  </si>
  <si>
    <t xml:space="preserve">Island community savings &amp; home loans</t>
  </si>
  <si>
    <t xml:space="preserve">BNK-2026-122</t>
  </si>
  <si>
    <t xml:space="preserve">Bank of Hawaii</t>
  </si>
  <si>
    <t xml:space="preserve">Pacific Islands</t>
  </si>
  <si>
    <t xml:space="preserve">Tourism &amp; hospitality sector lending</t>
  </si>
  <si>
    <t xml:space="preserve">BNK-2026-123</t>
  </si>
  <si>
    <t xml:space="preserve">Central Pacific Financial</t>
  </si>
  <si>
    <t xml:space="preserve">Hawaii Commercial</t>
  </si>
  <si>
    <t xml:space="preserve">Honolulu commercial real estate</t>
  </si>
  <si>
    <t xml:space="preserve">BNK-2026-124</t>
  </si>
  <si>
    <t xml:space="preserve">First Hawaiian</t>
  </si>
  <si>
    <t xml:space="preserve">Visitor Industry</t>
  </si>
  <si>
    <t xml:space="preserve">Hotel &amp; resort financing in Hawaii</t>
  </si>
  <si>
    <t xml:space="preserve">BNK-2026-125</t>
  </si>
  <si>
    <t xml:space="preserve">Mackinac Savings</t>
  </si>
  <si>
    <t xml:space="preserve">Great Lakes Region</t>
  </si>
  <si>
    <t xml:space="preserve">Seasonal business &amp; tourism lending</t>
  </si>
  <si>
    <t xml:space="preserve">BNK-2026-126</t>
  </si>
  <si>
    <t xml:space="preserve">Horizon Bancal</t>
  </si>
  <si>
    <t xml:space="preserve">Midwest Banking</t>
  </si>
  <si>
    <t xml:space="preserve">Illinois &amp; Indiana community banking</t>
  </si>
  <si>
    <t xml:space="preserve">BNK-2026-127</t>
  </si>
  <si>
    <t xml:space="preserve">Midland States Bancorp</t>
  </si>
  <si>
    <t xml:space="preserve">Consumer Finance</t>
  </si>
  <si>
    <t xml:space="preserve">Auto &amp; personal loan origination</t>
  </si>
  <si>
    <t xml:space="preserve">BNK-2026-128</t>
  </si>
  <si>
    <t xml:space="preserve">National Western Financial</t>
  </si>
  <si>
    <t xml:space="preserve">Annuities</t>
  </si>
  <si>
    <t xml:space="preserve">Insurance &amp; annuity product distribution</t>
  </si>
  <si>
    <t xml:space="preserve">BNK-2026-129</t>
  </si>
  <si>
    <t xml:space="preserve">Glacier Life</t>
  </si>
  <si>
    <t xml:space="preserve">Bancassurance</t>
  </si>
  <si>
    <t xml:space="preserve">Life insurance embedded in banking</t>
  </si>
  <si>
    <t xml:space="preserve">BNK-2026-130</t>
  </si>
  <si>
    <t xml:space="preserve">Shore Bankshares</t>
  </si>
  <si>
    <t xml:space="preserve">Chesapeake Banking</t>
  </si>
  <si>
    <t xml:space="preserve">Watermen &amp; maritime business lending</t>
  </si>
  <si>
    <t xml:space="preserve">BNK-2026-131</t>
  </si>
  <si>
    <t xml:space="preserve">TowneBank</t>
  </si>
  <si>
    <t xml:space="preserve">Hampton Roads Banking</t>
  </si>
  <si>
    <t xml:space="preserve">Virginia tidewater commercial banking</t>
  </si>
  <si>
    <t xml:space="preserve">BNK-2026-132</t>
  </si>
  <si>
    <t xml:space="preserve">Cardinal Bankshares</t>
  </si>
  <si>
    <t xml:space="preserve">Appalachian Banking</t>
  </si>
  <si>
    <t xml:space="preserve">Southwest Virginia community banking</t>
  </si>
  <si>
    <t xml:space="preserve">BNK-2026-133</t>
  </si>
  <si>
    <t xml:space="preserve">National Bankshares</t>
  </si>
  <si>
    <t xml:space="preserve">Rural Virginia</t>
  </si>
  <si>
    <t xml:space="preserve">Agricultural &amp; timber industry lending</t>
  </si>
  <si>
    <t xml:space="preserve">BNK-2026-134</t>
  </si>
  <si>
    <t xml:space="preserve">Nicolet Bankshares</t>
  </si>
  <si>
    <t xml:space="preserve">Wisconsin Banking</t>
  </si>
  <si>
    <t xml:space="preserve">Fox Valley commercial banking services</t>
  </si>
  <si>
    <t xml:space="preserve">BNK-2026-135</t>
  </si>
  <si>
    <t xml:space="preserve">Macatawa Bank</t>
  </si>
  <si>
    <t xml:space="preserve">West Michigan</t>
  </si>
  <si>
    <t xml:space="preserve">Grand Rapids commercial lending</t>
  </si>
  <si>
    <t xml:space="preserve">BNK-2026-136</t>
  </si>
  <si>
    <t xml:space="preserve">Glacier Superior</t>
  </si>
  <si>
    <t xml:space="preserve">Upper Peninsula</t>
  </si>
  <si>
    <t xml:space="preserve">Michigan UP community banking</t>
  </si>
  <si>
    <t xml:space="preserve">BNK-2026-137</t>
  </si>
  <si>
    <t xml:space="preserve">First Merchants</t>
  </si>
  <si>
    <t xml:space="preserve">Indiana Commercial</t>
  </si>
  <si>
    <t xml:space="preserve">Manufacturing sector lending</t>
  </si>
  <si>
    <t xml:space="preserve">BNK-2026-138</t>
  </si>
  <si>
    <t xml:space="preserve">Lakeland Bancorp</t>
  </si>
  <si>
    <t xml:space="preserve">New Jersey</t>
  </si>
  <si>
    <t xml:space="preserve">NJ suburban commercial real estate</t>
  </si>
  <si>
    <t xml:space="preserve">BNK-2026-139</t>
  </si>
  <si>
    <t xml:space="preserve">Northfield Bank</t>
  </si>
  <si>
    <t xml:space="preserve">Staten Island</t>
  </si>
  <si>
    <t xml:space="preserve">NYC metro small business banking</t>
  </si>
  <si>
    <t xml:space="preserve">BNK-2026-140</t>
  </si>
  <si>
    <t xml:space="preserve">Hanover Bancorp</t>
  </si>
  <si>
    <t xml:space="preserve">Pennsylvania</t>
  </si>
  <si>
    <t xml:space="preserve">Southeastern PA community banking</t>
  </si>
  <si>
    <t xml:space="preserve">BNK-2026-141</t>
  </si>
  <si>
    <t xml:space="preserve">Orrstown Financial</t>
  </si>
  <si>
    <t xml:space="preserve">Mid-Atlantic</t>
  </si>
  <si>
    <t xml:space="preserve">Hagerstown area commercial lending</t>
  </si>
  <si>
    <t xml:space="preserve">BNK-2026-142</t>
  </si>
  <si>
    <t xml:space="preserve">CNB Financial</t>
  </si>
  <si>
    <t xml:space="preserve">Central PA commercial &amp; agricultural</t>
  </si>
  <si>
    <t xml:space="preserve">BNK-2026-143</t>
  </si>
  <si>
    <t xml:space="preserve">Penns Woods Bancorp</t>
  </si>
  <si>
    <t xml:space="preserve">North-Central PA</t>
  </si>
  <si>
    <t xml:space="preserve">GDPR, PSD2, AML</t>
  </si>
  <si>
    <t xml:space="preserve">Timber &amp; forest industry lending</t>
  </si>
  <si>
    <t xml:space="preserve">BNK-2026-144</t>
  </si>
  <si>
    <t xml:space="preserve">First Keystone</t>
  </si>
  <si>
    <t xml:space="preserve">Northeastern PA</t>
  </si>
  <si>
    <t xml:space="preserve">Coal region community banking</t>
  </si>
  <si>
    <t xml:space="preserve">BNK-2026-145</t>
  </si>
  <si>
    <t xml:space="preserve">ESSA Bancorp</t>
  </si>
  <si>
    <t xml:space="preserve">Pocono Region</t>
  </si>
  <si>
    <t xml:space="preserve">Resort &amp; vacation home lending</t>
  </si>
  <si>
    <t xml:space="preserve">BNK-2026-146</t>
  </si>
  <si>
    <t xml:space="preserve">Riverview Financial</t>
  </si>
  <si>
    <t xml:space="preserve">PA Commercial</t>
  </si>
  <si>
    <t xml:space="preserve">Central Pennsylvania banking</t>
  </si>
  <si>
    <t xml:space="preserve">BNK-2026-147</t>
  </si>
  <si>
    <t xml:space="preserve">Mid Penn Bancorp</t>
  </si>
  <si>
    <t xml:space="preserve">Susquehanna Valley</t>
  </si>
  <si>
    <t xml:space="preserve">Agricultural &amp; commercial lending</t>
  </si>
  <si>
    <t xml:space="preserve">BNK-2026-148</t>
  </si>
  <si>
    <t xml:space="preserve">ACNB Corporation</t>
  </si>
  <si>
    <t xml:space="preserve">Adams County PA</t>
  </si>
  <si>
    <t xml:space="preserve">South-central PA community banking</t>
  </si>
  <si>
    <t xml:space="preserve">BNK-2026-149</t>
  </si>
  <si>
    <t xml:space="preserve">Riverview Community Bank</t>
  </si>
  <si>
    <t xml:space="preserve">Deposit Operations</t>
  </si>
  <si>
    <t xml:space="preserve">Community banking services agreement</t>
  </si>
  <si>
    <t xml:space="preserve">BNK-2026-150</t>
  </si>
  <si>
    <t xml:space="preserve">First Western Financial</t>
  </si>
  <si>
    <t xml:space="preserve">Bank Supplier — Contract Portfolio Summary</t>
  </si>
  <si>
    <t xml:space="preserve">Metric</t>
  </si>
  <si>
    <t xml:space="preserve">Value</t>
  </si>
  <si>
    <t xml:space="preserve">Total Contracts</t>
  </si>
  <si>
    <t xml:space="preserve">Total Active Contracts</t>
  </si>
  <si>
    <t xml:space="preserve">Average Contract Value ($)</t>
  </si>
  <si>
    <t xml:space="preserve">Maximum Contract Value ($)</t>
  </si>
  <si>
    <t xml:space="preserve">Minimum Contract Value ($)</t>
  </si>
  <si>
    <t xml:space="preserve">High Risk Contracts</t>
  </si>
  <si>
    <t xml:space="preserve">Medium Risk Contracts</t>
  </si>
  <si>
    <t xml:space="preserve">Low Risk Contracts</t>
  </si>
  <si>
    <t xml:space="preserve">Contracts Expiring Soon</t>
  </si>
  <si>
    <t xml:space="preserve">Expired Contracts</t>
  </si>
  <si>
    <t xml:space="preserve">Pending Contracts</t>
  </si>
  <si>
    <t xml:space="preserve">Auto-Renew Contracts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</si>
</sst>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\%"/>
    <numFmt numFmtId="167" formatCode="0.00\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6EFCE"/>
      </patternFill>
    </fill>
    <fill>
      <patternFill patternType="solid">
        <fgColor rgb="FFC6EFCE"/>
        <bgColor rgb="FFDCE6F1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BDD7EE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26"/>
    <col collapsed="false" customWidth="true" hidden="false" outlineLevel="0" max="5" min="4" style="1" width="13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1"/>
    <col collapsed="false" customWidth="true" hidden="false" outlineLevel="0" max="10" min="10" style="1" width="17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15"/>
    <col collapsed="false" customWidth="true" hidden="false" outlineLevel="0" max="15" min="15" style="1" width="18"/>
    <col collapsed="false" customWidth="true" hidden="false" outlineLevel="0" max="16" min="16" style="1" width="28"/>
    <col collapsed="false" customWidth="true" hidden="false" outlineLevel="0" max="17" min="17" style="1" width="38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true" outlineLevel="0" collapsed="false">
      <c r="A2" s="3" t="s">
        <v>17</v>
      </c>
      <c r="B2" s="4" t="s">
        <v>18</v>
      </c>
      <c r="C2" s="4" t="s">
        <v>19</v>
      </c>
      <c r="D2" s="3" t="s">
        <v>20</v>
      </c>
      <c r="E2" s="3" t="s">
        <v>21</v>
      </c>
      <c r="F2" s="5" t="n">
        <v>3200000</v>
      </c>
      <c r="G2" s="3" t="s">
        <v>22</v>
      </c>
      <c r="H2" s="6" t="s">
        <v>23</v>
      </c>
      <c r="I2" s="6" t="s">
        <v>24</v>
      </c>
      <c r="J2" s="4" t="s">
        <v>25</v>
      </c>
      <c r="K2" s="7" t="n">
        <v>99.99</v>
      </c>
      <c r="L2" s="3" t="s">
        <v>26</v>
      </c>
      <c r="M2" s="3" t="s">
        <v>26</v>
      </c>
      <c r="N2" s="3" t="s">
        <v>26</v>
      </c>
      <c r="O2" s="4" t="s">
        <v>27</v>
      </c>
      <c r="P2" s="4" t="s">
        <v>28</v>
      </c>
      <c r="Q2" s="4" t="s">
        <v>29</v>
      </c>
    </row>
    <row r="3" customFormat="false" ht="15" hidden="false" customHeight="true" outlineLevel="0" collapsed="false">
      <c r="A3" s="8" t="s">
        <v>30</v>
      </c>
      <c r="B3" s="9" t="s">
        <v>31</v>
      </c>
      <c r="C3" s="9" t="s">
        <v>32</v>
      </c>
      <c r="D3" s="8" t="s">
        <v>33</v>
      </c>
      <c r="E3" s="8" t="s">
        <v>34</v>
      </c>
      <c r="F3" s="10" t="n">
        <v>5500000</v>
      </c>
      <c r="G3" s="8" t="s">
        <v>35</v>
      </c>
      <c r="H3" s="6" t="s">
        <v>23</v>
      </c>
      <c r="I3" s="6" t="s">
        <v>24</v>
      </c>
      <c r="J3" s="9" t="s">
        <v>36</v>
      </c>
      <c r="K3" s="11" t="n">
        <v>99.95</v>
      </c>
      <c r="L3" s="8" t="s">
        <v>26</v>
      </c>
      <c r="M3" s="8" t="s">
        <v>26</v>
      </c>
      <c r="N3" s="8" t="s">
        <v>26</v>
      </c>
      <c r="O3" s="9" t="s">
        <v>27</v>
      </c>
      <c r="P3" s="9" t="s">
        <v>37</v>
      </c>
      <c r="Q3" s="9" t="s">
        <v>38</v>
      </c>
    </row>
    <row r="4" customFormat="false" ht="15" hidden="false" customHeight="true" outlineLevel="0" collapsed="false">
      <c r="A4" s="3" t="s">
        <v>39</v>
      </c>
      <c r="B4" s="4" t="s">
        <v>40</v>
      </c>
      <c r="C4" s="4" t="s">
        <v>41</v>
      </c>
      <c r="D4" s="3" t="s">
        <v>42</v>
      </c>
      <c r="E4" s="3" t="s">
        <v>43</v>
      </c>
      <c r="F4" s="5" t="n">
        <v>1800000</v>
      </c>
      <c r="G4" s="3" t="s">
        <v>22</v>
      </c>
      <c r="H4" s="6" t="s">
        <v>23</v>
      </c>
      <c r="I4" s="6" t="s">
        <v>24</v>
      </c>
      <c r="J4" s="4" t="s">
        <v>44</v>
      </c>
      <c r="K4" s="7" t="n">
        <v>99.9</v>
      </c>
      <c r="L4" s="3" t="s">
        <v>26</v>
      </c>
      <c r="M4" s="3" t="s">
        <v>45</v>
      </c>
      <c r="N4" s="3" t="s">
        <v>26</v>
      </c>
      <c r="O4" s="4" t="s">
        <v>46</v>
      </c>
      <c r="P4" s="4" t="s">
        <v>47</v>
      </c>
      <c r="Q4" s="4" t="s">
        <v>48</v>
      </c>
    </row>
    <row r="5" customFormat="false" ht="15" hidden="false" customHeight="true" outlineLevel="0" collapsed="false">
      <c r="A5" s="8" t="s">
        <v>49</v>
      </c>
      <c r="B5" s="9" t="s">
        <v>50</v>
      </c>
      <c r="C5" s="9" t="s">
        <v>51</v>
      </c>
      <c r="D5" s="8" t="s">
        <v>52</v>
      </c>
      <c r="E5" s="8" t="s">
        <v>53</v>
      </c>
      <c r="F5" s="10" t="n">
        <v>2400000</v>
      </c>
      <c r="G5" s="8" t="s">
        <v>35</v>
      </c>
      <c r="H5" s="6" t="s">
        <v>23</v>
      </c>
      <c r="I5" s="12" t="s">
        <v>54</v>
      </c>
      <c r="J5" s="9" t="s">
        <v>55</v>
      </c>
      <c r="K5" s="11" t="n">
        <v>99.8</v>
      </c>
      <c r="L5" s="8" t="s">
        <v>26</v>
      </c>
      <c r="M5" s="8" t="s">
        <v>26</v>
      </c>
      <c r="N5" s="8" t="s">
        <v>26</v>
      </c>
      <c r="O5" s="9" t="s">
        <v>27</v>
      </c>
      <c r="P5" s="9" t="s">
        <v>56</v>
      </c>
      <c r="Q5" s="9" t="s">
        <v>57</v>
      </c>
    </row>
    <row r="6" customFormat="false" ht="15" hidden="false" customHeight="true" outlineLevel="0" collapsed="false">
      <c r="A6" s="3" t="s">
        <v>58</v>
      </c>
      <c r="B6" s="4" t="s">
        <v>59</v>
      </c>
      <c r="C6" s="4" t="s">
        <v>60</v>
      </c>
      <c r="D6" s="3" t="s">
        <v>61</v>
      </c>
      <c r="E6" s="3" t="s">
        <v>62</v>
      </c>
      <c r="F6" s="5" t="n">
        <v>950000</v>
      </c>
      <c r="G6" s="3" t="s">
        <v>22</v>
      </c>
      <c r="H6" s="12" t="s">
        <v>63</v>
      </c>
      <c r="I6" s="6" t="s">
        <v>24</v>
      </c>
      <c r="J6" s="4" t="s">
        <v>25</v>
      </c>
      <c r="K6" s="7" t="n">
        <v>99.5</v>
      </c>
      <c r="L6" s="3" t="s">
        <v>26</v>
      </c>
      <c r="M6" s="3" t="s">
        <v>45</v>
      </c>
      <c r="N6" s="3" t="s">
        <v>26</v>
      </c>
      <c r="O6" s="4" t="s">
        <v>46</v>
      </c>
      <c r="P6" s="4" t="s">
        <v>64</v>
      </c>
      <c r="Q6" s="4" t="s">
        <v>65</v>
      </c>
    </row>
    <row r="7" customFormat="false" ht="15" hidden="false" customHeight="true" outlineLevel="0" collapsed="false">
      <c r="A7" s="8" t="s">
        <v>66</v>
      </c>
      <c r="B7" s="9" t="s">
        <v>67</v>
      </c>
      <c r="C7" s="9" t="s">
        <v>68</v>
      </c>
      <c r="D7" s="8" t="s">
        <v>69</v>
      </c>
      <c r="E7" s="8" t="s">
        <v>70</v>
      </c>
      <c r="F7" s="10" t="n">
        <v>3100000</v>
      </c>
      <c r="G7" s="8" t="s">
        <v>71</v>
      </c>
      <c r="H7" s="6" t="s">
        <v>23</v>
      </c>
      <c r="I7" s="12" t="s">
        <v>54</v>
      </c>
      <c r="J7" s="9" t="s">
        <v>36</v>
      </c>
      <c r="K7" s="11" t="n">
        <v>99.85</v>
      </c>
      <c r="L7" s="8" t="s">
        <v>26</v>
      </c>
      <c r="M7" s="8" t="s">
        <v>26</v>
      </c>
      <c r="N7" s="8" t="s">
        <v>26</v>
      </c>
      <c r="O7" s="9" t="s">
        <v>27</v>
      </c>
      <c r="P7" s="9" t="s">
        <v>72</v>
      </c>
      <c r="Q7" s="9" t="s">
        <v>73</v>
      </c>
    </row>
    <row r="8" customFormat="false" ht="15" hidden="false" customHeight="true" outlineLevel="0" collapsed="false">
      <c r="A8" s="3" t="s">
        <v>74</v>
      </c>
      <c r="B8" s="4" t="s">
        <v>75</v>
      </c>
      <c r="C8" s="4" t="s">
        <v>76</v>
      </c>
      <c r="D8" s="3" t="s">
        <v>20</v>
      </c>
      <c r="E8" s="3" t="s">
        <v>43</v>
      </c>
      <c r="F8" s="5" t="n">
        <v>2200000</v>
      </c>
      <c r="G8" s="3" t="s">
        <v>35</v>
      </c>
      <c r="H8" s="6" t="s">
        <v>23</v>
      </c>
      <c r="I8" s="12" t="s">
        <v>54</v>
      </c>
      <c r="J8" s="4" t="s">
        <v>44</v>
      </c>
      <c r="K8" s="7" t="n">
        <v>99.7</v>
      </c>
      <c r="L8" s="3" t="s">
        <v>26</v>
      </c>
      <c r="M8" s="3" t="s">
        <v>45</v>
      </c>
      <c r="N8" s="3" t="s">
        <v>26</v>
      </c>
      <c r="O8" s="4" t="s">
        <v>27</v>
      </c>
      <c r="P8" s="4" t="s">
        <v>77</v>
      </c>
      <c r="Q8" s="4" t="s">
        <v>78</v>
      </c>
    </row>
    <row r="9" customFormat="false" ht="15" hidden="false" customHeight="true" outlineLevel="0" collapsed="false">
      <c r="A9" s="8" t="s">
        <v>79</v>
      </c>
      <c r="B9" s="9" t="s">
        <v>80</v>
      </c>
      <c r="C9" s="9" t="s">
        <v>81</v>
      </c>
      <c r="D9" s="8" t="s">
        <v>82</v>
      </c>
      <c r="E9" s="8" t="s">
        <v>83</v>
      </c>
      <c r="F9" s="10" t="n">
        <v>1650000</v>
      </c>
      <c r="G9" s="8" t="s">
        <v>22</v>
      </c>
      <c r="H9" s="6" t="s">
        <v>23</v>
      </c>
      <c r="I9" s="6" t="s">
        <v>24</v>
      </c>
      <c r="J9" s="9" t="s">
        <v>55</v>
      </c>
      <c r="K9" s="11" t="n">
        <v>99.99</v>
      </c>
      <c r="L9" s="8" t="s">
        <v>26</v>
      </c>
      <c r="M9" s="8" t="s">
        <v>26</v>
      </c>
      <c r="N9" s="8" t="s">
        <v>26</v>
      </c>
      <c r="O9" s="9" t="s">
        <v>27</v>
      </c>
      <c r="P9" s="9" t="s">
        <v>84</v>
      </c>
      <c r="Q9" s="9" t="s">
        <v>85</v>
      </c>
    </row>
    <row r="10" customFormat="false" ht="15" hidden="false" customHeight="true" outlineLevel="0" collapsed="false">
      <c r="A10" s="3" t="s">
        <v>86</v>
      </c>
      <c r="B10" s="4" t="s">
        <v>87</v>
      </c>
      <c r="C10" s="4" t="s">
        <v>88</v>
      </c>
      <c r="D10" s="3" t="s">
        <v>20</v>
      </c>
      <c r="E10" s="3" t="s">
        <v>21</v>
      </c>
      <c r="F10" s="5" t="n">
        <v>2900000</v>
      </c>
      <c r="G10" s="3" t="s">
        <v>35</v>
      </c>
      <c r="H10" s="6" t="s">
        <v>23</v>
      </c>
      <c r="I10" s="6" t="s">
        <v>24</v>
      </c>
      <c r="J10" s="4" t="s">
        <v>25</v>
      </c>
      <c r="K10" s="7" t="n">
        <v>99.95</v>
      </c>
      <c r="L10" s="3" t="s">
        <v>26</v>
      </c>
      <c r="M10" s="3" t="s">
        <v>26</v>
      </c>
      <c r="N10" s="3" t="s">
        <v>26</v>
      </c>
      <c r="O10" s="4" t="s">
        <v>27</v>
      </c>
      <c r="P10" s="4" t="s">
        <v>89</v>
      </c>
      <c r="Q10" s="4" t="s">
        <v>90</v>
      </c>
    </row>
    <row r="11" customFormat="false" ht="15" hidden="false" customHeight="true" outlineLevel="0" collapsed="false">
      <c r="A11" s="8" t="s">
        <v>91</v>
      </c>
      <c r="B11" s="9" t="s">
        <v>92</v>
      </c>
      <c r="C11" s="9" t="s">
        <v>93</v>
      </c>
      <c r="D11" s="8" t="s">
        <v>94</v>
      </c>
      <c r="E11" s="8" t="s">
        <v>95</v>
      </c>
      <c r="F11" s="10" t="n">
        <v>1400000</v>
      </c>
      <c r="G11" s="8" t="s">
        <v>22</v>
      </c>
      <c r="H11" s="6" t="s">
        <v>23</v>
      </c>
      <c r="I11" s="12" t="s">
        <v>54</v>
      </c>
      <c r="J11" s="9" t="s">
        <v>36</v>
      </c>
      <c r="K11" s="11" t="n">
        <v>99.8</v>
      </c>
      <c r="L11" s="8" t="s">
        <v>26</v>
      </c>
      <c r="M11" s="8" t="s">
        <v>45</v>
      </c>
      <c r="N11" s="8" t="s">
        <v>26</v>
      </c>
      <c r="O11" s="9" t="s">
        <v>46</v>
      </c>
      <c r="P11" s="9" t="s">
        <v>96</v>
      </c>
      <c r="Q11" s="9" t="s">
        <v>97</v>
      </c>
    </row>
    <row r="12" customFormat="false" ht="15" hidden="false" customHeight="true" outlineLevel="0" collapsed="false">
      <c r="A12" s="3" t="s">
        <v>98</v>
      </c>
      <c r="B12" s="4" t="s">
        <v>99</v>
      </c>
      <c r="C12" s="4" t="s">
        <v>100</v>
      </c>
      <c r="D12" s="3" t="s">
        <v>101</v>
      </c>
      <c r="E12" s="3" t="s">
        <v>102</v>
      </c>
      <c r="F12" s="5" t="n">
        <v>2100000</v>
      </c>
      <c r="G12" s="3" t="s">
        <v>35</v>
      </c>
      <c r="H12" s="6" t="s">
        <v>23</v>
      </c>
      <c r="I12" s="6" t="s">
        <v>24</v>
      </c>
      <c r="J12" s="4" t="s">
        <v>44</v>
      </c>
      <c r="K12" s="7" t="n">
        <v>99.9</v>
      </c>
      <c r="L12" s="3" t="s">
        <v>26</v>
      </c>
      <c r="M12" s="3" t="s">
        <v>26</v>
      </c>
      <c r="N12" s="3" t="s">
        <v>26</v>
      </c>
      <c r="O12" s="4" t="s">
        <v>27</v>
      </c>
      <c r="P12" s="4" t="s">
        <v>103</v>
      </c>
      <c r="Q12" s="4" t="s">
        <v>104</v>
      </c>
    </row>
    <row r="13" customFormat="false" ht="15" hidden="false" customHeight="true" outlineLevel="0" collapsed="false">
      <c r="A13" s="8" t="s">
        <v>105</v>
      </c>
      <c r="B13" s="9" t="s">
        <v>106</v>
      </c>
      <c r="C13" s="9" t="s">
        <v>107</v>
      </c>
      <c r="D13" s="8" t="s">
        <v>108</v>
      </c>
      <c r="E13" s="8" t="s">
        <v>109</v>
      </c>
      <c r="F13" s="10" t="n">
        <v>1750000</v>
      </c>
      <c r="G13" s="8" t="s">
        <v>22</v>
      </c>
      <c r="H13" s="12" t="s">
        <v>63</v>
      </c>
      <c r="I13" s="12" t="s">
        <v>54</v>
      </c>
      <c r="J13" s="9" t="s">
        <v>55</v>
      </c>
      <c r="K13" s="11" t="n">
        <v>99.8</v>
      </c>
      <c r="L13" s="8" t="s">
        <v>26</v>
      </c>
      <c r="M13" s="8" t="s">
        <v>45</v>
      </c>
      <c r="N13" s="8" t="s">
        <v>26</v>
      </c>
      <c r="O13" s="9" t="s">
        <v>27</v>
      </c>
      <c r="P13" s="9" t="s">
        <v>110</v>
      </c>
      <c r="Q13" s="9" t="s">
        <v>111</v>
      </c>
    </row>
    <row r="14" customFormat="false" ht="15" hidden="false" customHeight="true" outlineLevel="0" collapsed="false">
      <c r="A14" s="3" t="s">
        <v>112</v>
      </c>
      <c r="B14" s="4" t="s">
        <v>113</v>
      </c>
      <c r="C14" s="4" t="s">
        <v>114</v>
      </c>
      <c r="D14" s="3" t="s">
        <v>20</v>
      </c>
      <c r="E14" s="3" t="s">
        <v>43</v>
      </c>
      <c r="F14" s="5" t="n">
        <v>890000</v>
      </c>
      <c r="G14" s="3" t="s">
        <v>35</v>
      </c>
      <c r="H14" s="6" t="s">
        <v>23</v>
      </c>
      <c r="I14" s="13" t="s">
        <v>115</v>
      </c>
      <c r="J14" s="4" t="s">
        <v>25</v>
      </c>
      <c r="K14" s="7" t="n">
        <v>99</v>
      </c>
      <c r="L14" s="3" t="s">
        <v>26</v>
      </c>
      <c r="M14" s="3" t="s">
        <v>45</v>
      </c>
      <c r="N14" s="3" t="s">
        <v>26</v>
      </c>
      <c r="O14" s="4" t="s">
        <v>27</v>
      </c>
      <c r="P14" s="4" t="s">
        <v>116</v>
      </c>
      <c r="Q14" s="4" t="s">
        <v>117</v>
      </c>
    </row>
    <row r="15" customFormat="false" ht="15" hidden="false" customHeight="true" outlineLevel="0" collapsed="false">
      <c r="A15" s="8" t="s">
        <v>118</v>
      </c>
      <c r="B15" s="9" t="s">
        <v>119</v>
      </c>
      <c r="C15" s="9" t="s">
        <v>120</v>
      </c>
      <c r="D15" s="8" t="s">
        <v>121</v>
      </c>
      <c r="E15" s="8" t="s">
        <v>122</v>
      </c>
      <c r="F15" s="10" t="n">
        <v>1300000</v>
      </c>
      <c r="G15" s="8" t="s">
        <v>22</v>
      </c>
      <c r="H15" s="14" t="s">
        <v>123</v>
      </c>
      <c r="I15" s="12" t="s">
        <v>54</v>
      </c>
      <c r="J15" s="9" t="s">
        <v>36</v>
      </c>
      <c r="K15" s="11" t="n">
        <v>99.5</v>
      </c>
      <c r="L15" s="8" t="s">
        <v>26</v>
      </c>
      <c r="M15" s="8" t="s">
        <v>45</v>
      </c>
      <c r="N15" s="8" t="s">
        <v>26</v>
      </c>
      <c r="O15" s="9" t="s">
        <v>46</v>
      </c>
      <c r="P15" s="9" t="s">
        <v>124</v>
      </c>
      <c r="Q15" s="9" t="s">
        <v>125</v>
      </c>
    </row>
    <row r="16" customFormat="false" ht="15" hidden="false" customHeight="true" outlineLevel="0" collapsed="false">
      <c r="A16" s="3" t="s">
        <v>126</v>
      </c>
      <c r="B16" s="4" t="s">
        <v>127</v>
      </c>
      <c r="C16" s="4" t="s">
        <v>128</v>
      </c>
      <c r="D16" s="3" t="s">
        <v>129</v>
      </c>
      <c r="E16" s="3" t="s">
        <v>130</v>
      </c>
      <c r="F16" s="5" t="n">
        <v>680000</v>
      </c>
      <c r="G16" s="3" t="s">
        <v>22</v>
      </c>
      <c r="H16" s="13" t="s">
        <v>131</v>
      </c>
      <c r="I16" s="13" t="s">
        <v>115</v>
      </c>
      <c r="J16" s="4" t="s">
        <v>44</v>
      </c>
      <c r="K16" s="7" t="n">
        <v>97.5</v>
      </c>
      <c r="L16" s="3" t="s">
        <v>26</v>
      </c>
      <c r="M16" s="3" t="s">
        <v>45</v>
      </c>
      <c r="N16" s="3" t="s">
        <v>45</v>
      </c>
      <c r="O16" s="4" t="s">
        <v>46</v>
      </c>
      <c r="P16" s="4" t="s">
        <v>132</v>
      </c>
      <c r="Q16" s="4" t="s">
        <v>133</v>
      </c>
    </row>
    <row r="17" customFormat="false" ht="15" hidden="false" customHeight="true" outlineLevel="0" collapsed="false">
      <c r="A17" s="8" t="s">
        <v>134</v>
      </c>
      <c r="B17" s="9" t="s">
        <v>135</v>
      </c>
      <c r="C17" s="9" t="s">
        <v>136</v>
      </c>
      <c r="D17" s="8" t="s">
        <v>33</v>
      </c>
      <c r="E17" s="8" t="s">
        <v>137</v>
      </c>
      <c r="F17" s="10" t="n">
        <v>1150000</v>
      </c>
      <c r="G17" s="8" t="s">
        <v>35</v>
      </c>
      <c r="H17" s="6" t="s">
        <v>23</v>
      </c>
      <c r="I17" s="6" t="s">
        <v>24</v>
      </c>
      <c r="J17" s="9" t="s">
        <v>55</v>
      </c>
      <c r="K17" s="11" t="n">
        <v>99.8</v>
      </c>
      <c r="L17" s="8" t="s">
        <v>26</v>
      </c>
      <c r="M17" s="8" t="s">
        <v>26</v>
      </c>
      <c r="N17" s="8" t="s">
        <v>26</v>
      </c>
      <c r="O17" s="9" t="s">
        <v>46</v>
      </c>
      <c r="P17" s="9" t="s">
        <v>138</v>
      </c>
      <c r="Q17" s="9" t="s">
        <v>139</v>
      </c>
    </row>
    <row r="18" customFormat="false" ht="15" hidden="false" customHeight="true" outlineLevel="0" collapsed="false">
      <c r="A18" s="3" t="s">
        <v>140</v>
      </c>
      <c r="B18" s="4" t="s">
        <v>141</v>
      </c>
      <c r="C18" s="4" t="s">
        <v>142</v>
      </c>
      <c r="D18" s="3" t="s">
        <v>20</v>
      </c>
      <c r="E18" s="3" t="s">
        <v>43</v>
      </c>
      <c r="F18" s="5" t="n">
        <v>1950000</v>
      </c>
      <c r="G18" s="3" t="s">
        <v>71</v>
      </c>
      <c r="H18" s="6" t="s">
        <v>23</v>
      </c>
      <c r="I18" s="12" t="s">
        <v>54</v>
      </c>
      <c r="J18" s="4" t="s">
        <v>25</v>
      </c>
      <c r="K18" s="7" t="n">
        <v>99.85</v>
      </c>
      <c r="L18" s="3" t="s">
        <v>26</v>
      </c>
      <c r="M18" s="3" t="s">
        <v>45</v>
      </c>
      <c r="N18" s="3" t="s">
        <v>26</v>
      </c>
      <c r="O18" s="4" t="s">
        <v>27</v>
      </c>
      <c r="P18" s="4" t="s">
        <v>143</v>
      </c>
      <c r="Q18" s="4" t="s">
        <v>144</v>
      </c>
    </row>
    <row r="19" customFormat="false" ht="15" hidden="false" customHeight="true" outlineLevel="0" collapsed="false">
      <c r="A19" s="8" t="s">
        <v>145</v>
      </c>
      <c r="B19" s="9" t="s">
        <v>146</v>
      </c>
      <c r="C19" s="9" t="s">
        <v>147</v>
      </c>
      <c r="D19" s="8" t="s">
        <v>52</v>
      </c>
      <c r="E19" s="8" t="s">
        <v>148</v>
      </c>
      <c r="F19" s="10" t="n">
        <v>2600000</v>
      </c>
      <c r="G19" s="8" t="s">
        <v>35</v>
      </c>
      <c r="H19" s="6" t="s">
        <v>23</v>
      </c>
      <c r="I19" s="6" t="s">
        <v>24</v>
      </c>
      <c r="J19" s="9" t="s">
        <v>36</v>
      </c>
      <c r="K19" s="11" t="n">
        <v>99.9</v>
      </c>
      <c r="L19" s="8" t="s">
        <v>26</v>
      </c>
      <c r="M19" s="8" t="s">
        <v>26</v>
      </c>
      <c r="N19" s="8" t="s">
        <v>26</v>
      </c>
      <c r="O19" s="9" t="s">
        <v>27</v>
      </c>
      <c r="P19" s="9" t="s">
        <v>149</v>
      </c>
      <c r="Q19" s="9" t="s">
        <v>150</v>
      </c>
    </row>
    <row r="20" customFormat="false" ht="15" hidden="false" customHeight="true" outlineLevel="0" collapsed="false">
      <c r="A20" s="3" t="s">
        <v>151</v>
      </c>
      <c r="B20" s="4" t="s">
        <v>152</v>
      </c>
      <c r="C20" s="4" t="s">
        <v>153</v>
      </c>
      <c r="D20" s="3" t="s">
        <v>69</v>
      </c>
      <c r="E20" s="3" t="s">
        <v>154</v>
      </c>
      <c r="F20" s="5" t="n">
        <v>980000</v>
      </c>
      <c r="G20" s="3" t="s">
        <v>22</v>
      </c>
      <c r="H20" s="6" t="s">
        <v>23</v>
      </c>
      <c r="I20" s="6" t="s">
        <v>24</v>
      </c>
      <c r="J20" s="4" t="s">
        <v>44</v>
      </c>
      <c r="K20" s="7" t="n">
        <v>99.95</v>
      </c>
      <c r="L20" s="3" t="s">
        <v>26</v>
      </c>
      <c r="M20" s="3" t="s">
        <v>45</v>
      </c>
      <c r="N20" s="3" t="s">
        <v>26</v>
      </c>
      <c r="O20" s="4" t="s">
        <v>27</v>
      </c>
      <c r="P20" s="4" t="s">
        <v>155</v>
      </c>
      <c r="Q20" s="4" t="s">
        <v>156</v>
      </c>
    </row>
    <row r="21" customFormat="false" ht="15" hidden="false" customHeight="true" outlineLevel="0" collapsed="false">
      <c r="A21" s="8" t="s">
        <v>157</v>
      </c>
      <c r="B21" s="9" t="s">
        <v>158</v>
      </c>
      <c r="C21" s="9" t="s">
        <v>159</v>
      </c>
      <c r="D21" s="8" t="s">
        <v>42</v>
      </c>
      <c r="E21" s="8" t="s">
        <v>160</v>
      </c>
      <c r="F21" s="10" t="n">
        <v>1420000</v>
      </c>
      <c r="G21" s="8" t="s">
        <v>35</v>
      </c>
      <c r="H21" s="6" t="s">
        <v>23</v>
      </c>
      <c r="I21" s="12" t="s">
        <v>54</v>
      </c>
      <c r="J21" s="9" t="s">
        <v>55</v>
      </c>
      <c r="K21" s="11" t="n">
        <v>99.7</v>
      </c>
      <c r="L21" s="8" t="s">
        <v>26</v>
      </c>
      <c r="M21" s="8" t="s">
        <v>26</v>
      </c>
      <c r="N21" s="8" t="s">
        <v>26</v>
      </c>
      <c r="O21" s="9" t="s">
        <v>46</v>
      </c>
      <c r="P21" s="9" t="s">
        <v>161</v>
      </c>
      <c r="Q21" s="9" t="s">
        <v>162</v>
      </c>
    </row>
    <row r="22" customFormat="false" ht="15" hidden="false" customHeight="true" outlineLevel="0" collapsed="false">
      <c r="A22" s="3" t="s">
        <v>163</v>
      </c>
      <c r="B22" s="4" t="s">
        <v>164</v>
      </c>
      <c r="C22" s="4" t="s">
        <v>165</v>
      </c>
      <c r="D22" s="3" t="s">
        <v>101</v>
      </c>
      <c r="E22" s="3" t="s">
        <v>166</v>
      </c>
      <c r="F22" s="5" t="n">
        <v>2050000</v>
      </c>
      <c r="G22" s="3" t="s">
        <v>35</v>
      </c>
      <c r="H22" s="6" t="s">
        <v>23</v>
      </c>
      <c r="I22" s="12" t="s">
        <v>54</v>
      </c>
      <c r="J22" s="4" t="s">
        <v>25</v>
      </c>
      <c r="K22" s="7" t="n">
        <v>99.6</v>
      </c>
      <c r="L22" s="3" t="s">
        <v>26</v>
      </c>
      <c r="M22" s="3" t="s">
        <v>45</v>
      </c>
      <c r="N22" s="3" t="s">
        <v>26</v>
      </c>
      <c r="O22" s="4" t="s">
        <v>27</v>
      </c>
      <c r="P22" s="4" t="s">
        <v>167</v>
      </c>
      <c r="Q22" s="4" t="s">
        <v>168</v>
      </c>
    </row>
    <row r="23" customFormat="false" ht="15" hidden="false" customHeight="true" outlineLevel="0" collapsed="false">
      <c r="A23" s="8" t="s">
        <v>169</v>
      </c>
      <c r="B23" s="9" t="s">
        <v>170</v>
      </c>
      <c r="C23" s="9" t="s">
        <v>171</v>
      </c>
      <c r="D23" s="8" t="s">
        <v>33</v>
      </c>
      <c r="E23" s="8" t="s">
        <v>172</v>
      </c>
      <c r="F23" s="10" t="n">
        <v>760000</v>
      </c>
      <c r="G23" s="8" t="s">
        <v>22</v>
      </c>
      <c r="H23" s="6" t="s">
        <v>23</v>
      </c>
      <c r="I23" s="6" t="s">
        <v>24</v>
      </c>
      <c r="J23" s="9" t="s">
        <v>36</v>
      </c>
      <c r="K23" s="11" t="n">
        <v>99.5</v>
      </c>
      <c r="L23" s="8" t="s">
        <v>26</v>
      </c>
      <c r="M23" s="8" t="s">
        <v>45</v>
      </c>
      <c r="N23" s="8" t="s">
        <v>45</v>
      </c>
      <c r="O23" s="9" t="s">
        <v>173</v>
      </c>
      <c r="P23" s="9" t="s">
        <v>174</v>
      </c>
      <c r="Q23" s="9" t="s">
        <v>175</v>
      </c>
    </row>
    <row r="24" customFormat="false" ht="15" hidden="false" customHeight="true" outlineLevel="0" collapsed="false">
      <c r="A24" s="3" t="s">
        <v>176</v>
      </c>
      <c r="B24" s="4" t="s">
        <v>177</v>
      </c>
      <c r="C24" s="4" t="s">
        <v>178</v>
      </c>
      <c r="D24" s="3" t="s">
        <v>20</v>
      </c>
      <c r="E24" s="3" t="s">
        <v>21</v>
      </c>
      <c r="F24" s="5" t="n">
        <v>2350000</v>
      </c>
      <c r="G24" s="3" t="s">
        <v>35</v>
      </c>
      <c r="H24" s="6" t="s">
        <v>23</v>
      </c>
      <c r="I24" s="6" t="s">
        <v>24</v>
      </c>
      <c r="J24" s="4" t="s">
        <v>44</v>
      </c>
      <c r="K24" s="7" t="n">
        <v>99.9</v>
      </c>
      <c r="L24" s="3" t="s">
        <v>26</v>
      </c>
      <c r="M24" s="3" t="s">
        <v>26</v>
      </c>
      <c r="N24" s="3" t="s">
        <v>26</v>
      </c>
      <c r="O24" s="4" t="s">
        <v>27</v>
      </c>
      <c r="P24" s="4" t="s">
        <v>179</v>
      </c>
      <c r="Q24" s="4" t="s">
        <v>180</v>
      </c>
    </row>
    <row r="25" customFormat="false" ht="15" hidden="false" customHeight="true" outlineLevel="0" collapsed="false">
      <c r="A25" s="8" t="s">
        <v>181</v>
      </c>
      <c r="B25" s="9" t="s">
        <v>182</v>
      </c>
      <c r="C25" s="9" t="s">
        <v>183</v>
      </c>
      <c r="D25" s="8" t="s">
        <v>52</v>
      </c>
      <c r="E25" s="8" t="s">
        <v>184</v>
      </c>
      <c r="F25" s="10" t="n">
        <v>870000</v>
      </c>
      <c r="G25" s="8" t="s">
        <v>22</v>
      </c>
      <c r="H25" s="6" t="s">
        <v>23</v>
      </c>
      <c r="I25" s="6" t="s">
        <v>24</v>
      </c>
      <c r="J25" s="9" t="s">
        <v>55</v>
      </c>
      <c r="K25" s="11" t="n">
        <v>99.8</v>
      </c>
      <c r="L25" s="8" t="s">
        <v>26</v>
      </c>
      <c r="M25" s="8" t="s">
        <v>45</v>
      </c>
      <c r="N25" s="8" t="s">
        <v>26</v>
      </c>
      <c r="O25" s="9" t="s">
        <v>46</v>
      </c>
      <c r="P25" s="9" t="s">
        <v>185</v>
      </c>
      <c r="Q25" s="9" t="s">
        <v>186</v>
      </c>
    </row>
    <row r="26" customFormat="false" ht="15" hidden="false" customHeight="true" outlineLevel="0" collapsed="false">
      <c r="A26" s="3" t="s">
        <v>187</v>
      </c>
      <c r="B26" s="4" t="s">
        <v>188</v>
      </c>
      <c r="C26" s="4" t="s">
        <v>189</v>
      </c>
      <c r="D26" s="3" t="s">
        <v>121</v>
      </c>
      <c r="E26" s="3" t="s">
        <v>122</v>
      </c>
      <c r="F26" s="5" t="n">
        <v>1100000</v>
      </c>
      <c r="G26" s="3" t="s">
        <v>35</v>
      </c>
      <c r="H26" s="6" t="s">
        <v>23</v>
      </c>
      <c r="I26" s="12" t="s">
        <v>54</v>
      </c>
      <c r="J26" s="4" t="s">
        <v>25</v>
      </c>
      <c r="K26" s="7" t="n">
        <v>99.7</v>
      </c>
      <c r="L26" s="3" t="s">
        <v>26</v>
      </c>
      <c r="M26" s="3" t="s">
        <v>26</v>
      </c>
      <c r="N26" s="3" t="s">
        <v>26</v>
      </c>
      <c r="O26" s="4" t="s">
        <v>27</v>
      </c>
      <c r="P26" s="4" t="s">
        <v>190</v>
      </c>
      <c r="Q26" s="4" t="s">
        <v>191</v>
      </c>
    </row>
    <row r="27" customFormat="false" ht="15" hidden="false" customHeight="true" outlineLevel="0" collapsed="false">
      <c r="A27" s="8" t="s">
        <v>192</v>
      </c>
      <c r="B27" s="9" t="s">
        <v>193</v>
      </c>
      <c r="C27" s="9" t="s">
        <v>194</v>
      </c>
      <c r="D27" s="8" t="s">
        <v>20</v>
      </c>
      <c r="E27" s="8" t="s">
        <v>43</v>
      </c>
      <c r="F27" s="10" t="n">
        <v>1280000</v>
      </c>
      <c r="G27" s="8" t="s">
        <v>22</v>
      </c>
      <c r="H27" s="6" t="s">
        <v>23</v>
      </c>
      <c r="I27" s="6" t="s">
        <v>24</v>
      </c>
      <c r="J27" s="9" t="s">
        <v>36</v>
      </c>
      <c r="K27" s="11" t="n">
        <v>99.85</v>
      </c>
      <c r="L27" s="8" t="s">
        <v>26</v>
      </c>
      <c r="M27" s="8" t="s">
        <v>45</v>
      </c>
      <c r="N27" s="8" t="s">
        <v>26</v>
      </c>
      <c r="O27" s="9" t="s">
        <v>46</v>
      </c>
      <c r="P27" s="9" t="s">
        <v>195</v>
      </c>
      <c r="Q27" s="9" t="s">
        <v>196</v>
      </c>
    </row>
    <row r="28" customFormat="false" ht="15" hidden="false" customHeight="true" outlineLevel="0" collapsed="false">
      <c r="A28" s="3" t="s">
        <v>197</v>
      </c>
      <c r="B28" s="4" t="s">
        <v>198</v>
      </c>
      <c r="C28" s="4" t="s">
        <v>199</v>
      </c>
      <c r="D28" s="3" t="s">
        <v>69</v>
      </c>
      <c r="E28" s="3" t="s">
        <v>70</v>
      </c>
      <c r="F28" s="5" t="n">
        <v>1600000</v>
      </c>
      <c r="G28" s="3" t="s">
        <v>35</v>
      </c>
      <c r="H28" s="6" t="s">
        <v>23</v>
      </c>
      <c r="I28" s="6" t="s">
        <v>24</v>
      </c>
      <c r="J28" s="4" t="s">
        <v>44</v>
      </c>
      <c r="K28" s="7" t="n">
        <v>99.9</v>
      </c>
      <c r="L28" s="3" t="s">
        <v>26</v>
      </c>
      <c r="M28" s="3" t="s">
        <v>26</v>
      </c>
      <c r="N28" s="3" t="s">
        <v>26</v>
      </c>
      <c r="O28" s="4" t="s">
        <v>46</v>
      </c>
      <c r="P28" s="4" t="s">
        <v>200</v>
      </c>
      <c r="Q28" s="4" t="s">
        <v>201</v>
      </c>
    </row>
    <row r="29" customFormat="false" ht="15" hidden="false" customHeight="true" outlineLevel="0" collapsed="false">
      <c r="A29" s="8" t="s">
        <v>202</v>
      </c>
      <c r="B29" s="9" t="s">
        <v>203</v>
      </c>
      <c r="C29" s="9" t="s">
        <v>204</v>
      </c>
      <c r="D29" s="8" t="s">
        <v>205</v>
      </c>
      <c r="E29" s="8" t="s">
        <v>206</v>
      </c>
      <c r="F29" s="10" t="n">
        <v>740000</v>
      </c>
      <c r="G29" s="8" t="s">
        <v>22</v>
      </c>
      <c r="H29" s="12" t="s">
        <v>63</v>
      </c>
      <c r="I29" s="6" t="s">
        <v>24</v>
      </c>
      <c r="J29" s="9" t="s">
        <v>55</v>
      </c>
      <c r="K29" s="11" t="n">
        <v>99.5</v>
      </c>
      <c r="L29" s="8" t="s">
        <v>26</v>
      </c>
      <c r="M29" s="8" t="s">
        <v>45</v>
      </c>
      <c r="N29" s="8" t="s">
        <v>45</v>
      </c>
      <c r="O29" s="9" t="s">
        <v>173</v>
      </c>
      <c r="P29" s="9" t="s">
        <v>207</v>
      </c>
      <c r="Q29" s="9" t="s">
        <v>208</v>
      </c>
    </row>
    <row r="30" customFormat="false" ht="15" hidden="false" customHeight="true" outlineLevel="0" collapsed="false">
      <c r="A30" s="3" t="s">
        <v>209</v>
      </c>
      <c r="B30" s="4" t="s">
        <v>210</v>
      </c>
      <c r="C30" s="4" t="s">
        <v>211</v>
      </c>
      <c r="D30" s="3" t="s">
        <v>82</v>
      </c>
      <c r="E30" s="3" t="s">
        <v>83</v>
      </c>
      <c r="F30" s="5" t="n">
        <v>1850000</v>
      </c>
      <c r="G30" s="3" t="s">
        <v>35</v>
      </c>
      <c r="H30" s="6" t="s">
        <v>23</v>
      </c>
      <c r="I30" s="6" t="s">
        <v>24</v>
      </c>
      <c r="J30" s="4" t="s">
        <v>25</v>
      </c>
      <c r="K30" s="7" t="n">
        <v>99.95</v>
      </c>
      <c r="L30" s="3" t="s">
        <v>26</v>
      </c>
      <c r="M30" s="3" t="s">
        <v>26</v>
      </c>
      <c r="N30" s="3" t="s">
        <v>26</v>
      </c>
      <c r="O30" s="4" t="s">
        <v>27</v>
      </c>
      <c r="P30" s="4" t="s">
        <v>212</v>
      </c>
      <c r="Q30" s="4" t="s">
        <v>213</v>
      </c>
    </row>
    <row r="31" customFormat="false" ht="15" hidden="false" customHeight="true" outlineLevel="0" collapsed="false">
      <c r="A31" s="8" t="s">
        <v>214</v>
      </c>
      <c r="B31" s="9" t="s">
        <v>215</v>
      </c>
      <c r="C31" s="9" t="s">
        <v>216</v>
      </c>
      <c r="D31" s="8" t="s">
        <v>101</v>
      </c>
      <c r="E31" s="8" t="s">
        <v>217</v>
      </c>
      <c r="F31" s="10" t="n">
        <v>920000</v>
      </c>
      <c r="G31" s="8" t="s">
        <v>22</v>
      </c>
      <c r="H31" s="6" t="s">
        <v>23</v>
      </c>
      <c r="I31" s="12" t="s">
        <v>54</v>
      </c>
      <c r="J31" s="9" t="s">
        <v>36</v>
      </c>
      <c r="K31" s="11" t="n">
        <v>99.6</v>
      </c>
      <c r="L31" s="8" t="s">
        <v>26</v>
      </c>
      <c r="M31" s="8" t="s">
        <v>45</v>
      </c>
      <c r="N31" s="8" t="s">
        <v>26</v>
      </c>
      <c r="O31" s="9" t="s">
        <v>46</v>
      </c>
      <c r="P31" s="9" t="s">
        <v>218</v>
      </c>
      <c r="Q31" s="9" t="s">
        <v>219</v>
      </c>
    </row>
    <row r="32" customFormat="false" ht="15" hidden="false" customHeight="true" outlineLevel="0" collapsed="false">
      <c r="A32" s="3" t="s">
        <v>220</v>
      </c>
      <c r="B32" s="4" t="s">
        <v>221</v>
      </c>
      <c r="C32" s="4" t="s">
        <v>222</v>
      </c>
      <c r="D32" s="3" t="s">
        <v>20</v>
      </c>
      <c r="E32" s="3" t="s">
        <v>21</v>
      </c>
      <c r="F32" s="5" t="n">
        <v>2100000</v>
      </c>
      <c r="G32" s="3" t="s">
        <v>35</v>
      </c>
      <c r="H32" s="6" t="s">
        <v>23</v>
      </c>
      <c r="I32" s="12" t="s">
        <v>54</v>
      </c>
      <c r="J32" s="4" t="s">
        <v>44</v>
      </c>
      <c r="K32" s="7" t="n">
        <v>99.75</v>
      </c>
      <c r="L32" s="3" t="s">
        <v>26</v>
      </c>
      <c r="M32" s="3" t="s">
        <v>26</v>
      </c>
      <c r="N32" s="3" t="s">
        <v>26</v>
      </c>
      <c r="O32" s="4" t="s">
        <v>27</v>
      </c>
      <c r="P32" s="4" t="s">
        <v>223</v>
      </c>
      <c r="Q32" s="4" t="s">
        <v>224</v>
      </c>
    </row>
    <row r="33" customFormat="false" ht="15" hidden="false" customHeight="true" outlineLevel="0" collapsed="false">
      <c r="A33" s="8" t="s">
        <v>225</v>
      </c>
      <c r="B33" s="9" t="s">
        <v>226</v>
      </c>
      <c r="C33" s="9" t="s">
        <v>227</v>
      </c>
      <c r="D33" s="8" t="s">
        <v>52</v>
      </c>
      <c r="E33" s="8" t="s">
        <v>184</v>
      </c>
      <c r="F33" s="10" t="n">
        <v>1050000</v>
      </c>
      <c r="G33" s="8" t="s">
        <v>22</v>
      </c>
      <c r="H33" s="6" t="s">
        <v>23</v>
      </c>
      <c r="I33" s="6" t="s">
        <v>24</v>
      </c>
      <c r="J33" s="9" t="s">
        <v>55</v>
      </c>
      <c r="K33" s="11" t="n">
        <v>99.8</v>
      </c>
      <c r="L33" s="8" t="s">
        <v>26</v>
      </c>
      <c r="M33" s="8" t="s">
        <v>45</v>
      </c>
      <c r="N33" s="8" t="s">
        <v>26</v>
      </c>
      <c r="O33" s="9" t="s">
        <v>46</v>
      </c>
      <c r="P33" s="9" t="s">
        <v>228</v>
      </c>
      <c r="Q33" s="9" t="s">
        <v>229</v>
      </c>
    </row>
    <row r="34" customFormat="false" ht="15" hidden="false" customHeight="true" outlineLevel="0" collapsed="false">
      <c r="A34" s="3" t="s">
        <v>230</v>
      </c>
      <c r="B34" s="4" t="s">
        <v>231</v>
      </c>
      <c r="C34" s="4" t="s">
        <v>232</v>
      </c>
      <c r="D34" s="3" t="s">
        <v>121</v>
      </c>
      <c r="E34" s="3" t="s">
        <v>233</v>
      </c>
      <c r="F34" s="5" t="n">
        <v>880000</v>
      </c>
      <c r="G34" s="3" t="s">
        <v>35</v>
      </c>
      <c r="H34" s="6" t="s">
        <v>23</v>
      </c>
      <c r="I34" s="6" t="s">
        <v>24</v>
      </c>
      <c r="J34" s="4" t="s">
        <v>25</v>
      </c>
      <c r="K34" s="7" t="n">
        <v>99.5</v>
      </c>
      <c r="L34" s="3" t="s">
        <v>26</v>
      </c>
      <c r="M34" s="3" t="s">
        <v>26</v>
      </c>
      <c r="N34" s="3" t="s">
        <v>45</v>
      </c>
      <c r="O34" s="4" t="s">
        <v>173</v>
      </c>
      <c r="P34" s="4" t="s">
        <v>234</v>
      </c>
      <c r="Q34" s="4" t="s">
        <v>235</v>
      </c>
    </row>
    <row r="35" customFormat="false" ht="15" hidden="false" customHeight="true" outlineLevel="0" collapsed="false">
      <c r="A35" s="8" t="s">
        <v>236</v>
      </c>
      <c r="B35" s="9" t="s">
        <v>237</v>
      </c>
      <c r="C35" s="9" t="s">
        <v>238</v>
      </c>
      <c r="D35" s="8" t="s">
        <v>69</v>
      </c>
      <c r="E35" s="8" t="s">
        <v>154</v>
      </c>
      <c r="F35" s="10" t="n">
        <v>1350000</v>
      </c>
      <c r="G35" s="8" t="s">
        <v>22</v>
      </c>
      <c r="H35" s="6" t="s">
        <v>23</v>
      </c>
      <c r="I35" s="12" t="s">
        <v>54</v>
      </c>
      <c r="J35" s="9" t="s">
        <v>36</v>
      </c>
      <c r="K35" s="11" t="n">
        <v>99.7</v>
      </c>
      <c r="L35" s="8" t="s">
        <v>26</v>
      </c>
      <c r="M35" s="8" t="s">
        <v>45</v>
      </c>
      <c r="N35" s="8" t="s">
        <v>26</v>
      </c>
      <c r="O35" s="9" t="s">
        <v>46</v>
      </c>
      <c r="P35" s="9" t="s">
        <v>239</v>
      </c>
      <c r="Q35" s="9" t="s">
        <v>240</v>
      </c>
    </row>
    <row r="36" customFormat="false" ht="15" hidden="false" customHeight="true" outlineLevel="0" collapsed="false">
      <c r="A36" s="3" t="s">
        <v>241</v>
      </c>
      <c r="B36" s="4" t="s">
        <v>242</v>
      </c>
      <c r="C36" s="4" t="s">
        <v>243</v>
      </c>
      <c r="D36" s="3" t="s">
        <v>42</v>
      </c>
      <c r="E36" s="3" t="s">
        <v>43</v>
      </c>
      <c r="F36" s="5" t="n">
        <v>970000</v>
      </c>
      <c r="G36" s="3" t="s">
        <v>35</v>
      </c>
      <c r="H36" s="6" t="s">
        <v>23</v>
      </c>
      <c r="I36" s="6" t="s">
        <v>24</v>
      </c>
      <c r="J36" s="4" t="s">
        <v>44</v>
      </c>
      <c r="K36" s="7" t="n">
        <v>99.6</v>
      </c>
      <c r="L36" s="3" t="s">
        <v>26</v>
      </c>
      <c r="M36" s="3" t="s">
        <v>45</v>
      </c>
      <c r="N36" s="3" t="s">
        <v>45</v>
      </c>
      <c r="O36" s="4" t="s">
        <v>173</v>
      </c>
      <c r="P36" s="4" t="s">
        <v>244</v>
      </c>
      <c r="Q36" s="4" t="s">
        <v>245</v>
      </c>
    </row>
    <row r="37" customFormat="false" ht="15" hidden="false" customHeight="true" outlineLevel="0" collapsed="false">
      <c r="A37" s="8" t="s">
        <v>246</v>
      </c>
      <c r="B37" s="9" t="s">
        <v>247</v>
      </c>
      <c r="C37" s="9" t="s">
        <v>248</v>
      </c>
      <c r="D37" s="8" t="s">
        <v>33</v>
      </c>
      <c r="E37" s="8" t="s">
        <v>137</v>
      </c>
      <c r="F37" s="10" t="n">
        <v>1150000</v>
      </c>
      <c r="G37" s="8" t="s">
        <v>22</v>
      </c>
      <c r="H37" s="6" t="s">
        <v>23</v>
      </c>
      <c r="I37" s="6" t="s">
        <v>24</v>
      </c>
      <c r="J37" s="9" t="s">
        <v>55</v>
      </c>
      <c r="K37" s="11" t="n">
        <v>99.9</v>
      </c>
      <c r="L37" s="8" t="s">
        <v>26</v>
      </c>
      <c r="M37" s="8" t="s">
        <v>26</v>
      </c>
      <c r="N37" s="8" t="s">
        <v>26</v>
      </c>
      <c r="O37" s="9" t="s">
        <v>46</v>
      </c>
      <c r="P37" s="9" t="s">
        <v>249</v>
      </c>
      <c r="Q37" s="9" t="s">
        <v>250</v>
      </c>
    </row>
    <row r="38" customFormat="false" ht="15" hidden="false" customHeight="true" outlineLevel="0" collapsed="false">
      <c r="A38" s="3" t="s">
        <v>251</v>
      </c>
      <c r="B38" s="4" t="s">
        <v>252</v>
      </c>
      <c r="C38" s="4" t="s">
        <v>253</v>
      </c>
      <c r="D38" s="3" t="s">
        <v>101</v>
      </c>
      <c r="E38" s="3" t="s">
        <v>217</v>
      </c>
      <c r="F38" s="5" t="n">
        <v>760000</v>
      </c>
      <c r="G38" s="3" t="s">
        <v>35</v>
      </c>
      <c r="H38" s="6" t="s">
        <v>23</v>
      </c>
      <c r="I38" s="12" t="s">
        <v>54</v>
      </c>
      <c r="J38" s="4" t="s">
        <v>25</v>
      </c>
      <c r="K38" s="7" t="n">
        <v>99.5</v>
      </c>
      <c r="L38" s="3" t="s">
        <v>26</v>
      </c>
      <c r="M38" s="3" t="s">
        <v>45</v>
      </c>
      <c r="N38" s="3" t="s">
        <v>26</v>
      </c>
      <c r="O38" s="4" t="s">
        <v>173</v>
      </c>
      <c r="P38" s="4" t="s">
        <v>254</v>
      </c>
      <c r="Q38" s="4" t="s">
        <v>255</v>
      </c>
    </row>
    <row r="39" customFormat="false" ht="15" hidden="false" customHeight="true" outlineLevel="0" collapsed="false">
      <c r="A39" s="8" t="s">
        <v>256</v>
      </c>
      <c r="B39" s="9" t="s">
        <v>257</v>
      </c>
      <c r="C39" s="9" t="s">
        <v>258</v>
      </c>
      <c r="D39" s="8" t="s">
        <v>20</v>
      </c>
      <c r="E39" s="8" t="s">
        <v>43</v>
      </c>
      <c r="F39" s="10" t="n">
        <v>840000</v>
      </c>
      <c r="G39" s="8" t="s">
        <v>22</v>
      </c>
      <c r="H39" s="6" t="s">
        <v>23</v>
      </c>
      <c r="I39" s="6" t="s">
        <v>24</v>
      </c>
      <c r="J39" s="9" t="s">
        <v>36</v>
      </c>
      <c r="K39" s="11" t="n">
        <v>99.7</v>
      </c>
      <c r="L39" s="8" t="s">
        <v>26</v>
      </c>
      <c r="M39" s="8" t="s">
        <v>45</v>
      </c>
      <c r="N39" s="8" t="s">
        <v>45</v>
      </c>
      <c r="O39" s="9" t="s">
        <v>46</v>
      </c>
      <c r="P39" s="9" t="s">
        <v>259</v>
      </c>
      <c r="Q39" s="9" t="s">
        <v>260</v>
      </c>
    </row>
    <row r="40" customFormat="false" ht="15" hidden="false" customHeight="true" outlineLevel="0" collapsed="false">
      <c r="A40" s="3" t="s">
        <v>261</v>
      </c>
      <c r="B40" s="4" t="s">
        <v>262</v>
      </c>
      <c r="C40" s="4" t="s">
        <v>263</v>
      </c>
      <c r="D40" s="3" t="s">
        <v>94</v>
      </c>
      <c r="E40" s="3" t="s">
        <v>264</v>
      </c>
      <c r="F40" s="5" t="n">
        <v>1200000</v>
      </c>
      <c r="G40" s="3" t="s">
        <v>35</v>
      </c>
      <c r="H40" s="6" t="s">
        <v>23</v>
      </c>
      <c r="I40" s="12" t="s">
        <v>54</v>
      </c>
      <c r="J40" s="4" t="s">
        <v>44</v>
      </c>
      <c r="K40" s="7" t="n">
        <v>99.65</v>
      </c>
      <c r="L40" s="3" t="s">
        <v>26</v>
      </c>
      <c r="M40" s="3" t="s">
        <v>26</v>
      </c>
      <c r="N40" s="3" t="s">
        <v>26</v>
      </c>
      <c r="O40" s="4" t="s">
        <v>27</v>
      </c>
      <c r="P40" s="4" t="s">
        <v>265</v>
      </c>
      <c r="Q40" s="4" t="s">
        <v>266</v>
      </c>
    </row>
    <row r="41" customFormat="false" ht="15" hidden="false" customHeight="true" outlineLevel="0" collapsed="false">
      <c r="A41" s="8" t="s">
        <v>267</v>
      </c>
      <c r="B41" s="9" t="s">
        <v>268</v>
      </c>
      <c r="C41" s="9" t="s">
        <v>269</v>
      </c>
      <c r="D41" s="8" t="s">
        <v>270</v>
      </c>
      <c r="E41" s="8" t="s">
        <v>271</v>
      </c>
      <c r="F41" s="10" t="n">
        <v>550000</v>
      </c>
      <c r="G41" s="8" t="s">
        <v>22</v>
      </c>
      <c r="H41" s="12" t="s">
        <v>63</v>
      </c>
      <c r="I41" s="13" t="s">
        <v>115</v>
      </c>
      <c r="J41" s="9" t="s">
        <v>55</v>
      </c>
      <c r="K41" s="11" t="n">
        <v>98</v>
      </c>
      <c r="L41" s="8" t="s">
        <v>45</v>
      </c>
      <c r="M41" s="8" t="s">
        <v>45</v>
      </c>
      <c r="N41" s="8" t="s">
        <v>26</v>
      </c>
      <c r="O41" s="9" t="s">
        <v>46</v>
      </c>
      <c r="P41" s="9" t="s">
        <v>272</v>
      </c>
      <c r="Q41" s="9" t="s">
        <v>273</v>
      </c>
    </row>
    <row r="42" customFormat="false" ht="15" hidden="false" customHeight="true" outlineLevel="0" collapsed="false">
      <c r="A42" s="3" t="s">
        <v>274</v>
      </c>
      <c r="B42" s="4" t="s">
        <v>275</v>
      </c>
      <c r="C42" s="4" t="s">
        <v>276</v>
      </c>
      <c r="D42" s="3" t="s">
        <v>20</v>
      </c>
      <c r="E42" s="3" t="s">
        <v>21</v>
      </c>
      <c r="F42" s="5" t="n">
        <v>1400000</v>
      </c>
      <c r="G42" s="3" t="s">
        <v>22</v>
      </c>
      <c r="H42" s="6" t="s">
        <v>23</v>
      </c>
      <c r="I42" s="6" t="s">
        <v>24</v>
      </c>
      <c r="J42" s="4" t="s">
        <v>25</v>
      </c>
      <c r="K42" s="7" t="n">
        <v>99.99</v>
      </c>
      <c r="L42" s="3" t="s">
        <v>26</v>
      </c>
      <c r="M42" s="3" t="s">
        <v>26</v>
      </c>
      <c r="N42" s="3" t="s">
        <v>26</v>
      </c>
      <c r="O42" s="4" t="s">
        <v>46</v>
      </c>
      <c r="P42" s="4" t="s">
        <v>277</v>
      </c>
      <c r="Q42" s="4" t="s">
        <v>278</v>
      </c>
    </row>
    <row r="43" customFormat="false" ht="15" hidden="false" customHeight="true" outlineLevel="0" collapsed="false">
      <c r="A43" s="8" t="s">
        <v>279</v>
      </c>
      <c r="B43" s="9" t="s">
        <v>280</v>
      </c>
      <c r="C43" s="9" t="s">
        <v>281</v>
      </c>
      <c r="D43" s="8" t="s">
        <v>33</v>
      </c>
      <c r="E43" s="8" t="s">
        <v>172</v>
      </c>
      <c r="F43" s="10" t="n">
        <v>620000</v>
      </c>
      <c r="G43" s="8" t="s">
        <v>22</v>
      </c>
      <c r="H43" s="6" t="s">
        <v>23</v>
      </c>
      <c r="I43" s="6" t="s">
        <v>24</v>
      </c>
      <c r="J43" s="9" t="s">
        <v>36</v>
      </c>
      <c r="K43" s="11" t="n">
        <v>99.9</v>
      </c>
      <c r="L43" s="8" t="s">
        <v>26</v>
      </c>
      <c r="M43" s="8" t="s">
        <v>45</v>
      </c>
      <c r="N43" s="8" t="s">
        <v>45</v>
      </c>
      <c r="O43" s="9" t="s">
        <v>173</v>
      </c>
      <c r="P43" s="9" t="s">
        <v>282</v>
      </c>
      <c r="Q43" s="9" t="s">
        <v>283</v>
      </c>
    </row>
    <row r="44" customFormat="false" ht="15" hidden="false" customHeight="true" outlineLevel="0" collapsed="false">
      <c r="A44" s="3" t="s">
        <v>284</v>
      </c>
      <c r="B44" s="4" t="s">
        <v>268</v>
      </c>
      <c r="C44" s="4" t="s">
        <v>285</v>
      </c>
      <c r="D44" s="3" t="s">
        <v>69</v>
      </c>
      <c r="E44" s="3" t="s">
        <v>286</v>
      </c>
      <c r="F44" s="5" t="n">
        <v>890000</v>
      </c>
      <c r="G44" s="3" t="s">
        <v>35</v>
      </c>
      <c r="H44" s="14" t="s">
        <v>123</v>
      </c>
      <c r="I44" s="13" t="s">
        <v>115</v>
      </c>
      <c r="J44" s="4" t="s">
        <v>44</v>
      </c>
      <c r="K44" s="7" t="n">
        <v>98.5</v>
      </c>
      <c r="L44" s="3" t="s">
        <v>26</v>
      </c>
      <c r="M44" s="3" t="s">
        <v>45</v>
      </c>
      <c r="N44" s="3" t="s">
        <v>26</v>
      </c>
      <c r="O44" s="4" t="s">
        <v>27</v>
      </c>
      <c r="P44" s="4" t="s">
        <v>287</v>
      </c>
      <c r="Q44" s="4" t="s">
        <v>288</v>
      </c>
    </row>
    <row r="45" customFormat="false" ht="15" hidden="false" customHeight="true" outlineLevel="0" collapsed="false">
      <c r="A45" s="8" t="s">
        <v>289</v>
      </c>
      <c r="B45" s="9" t="s">
        <v>290</v>
      </c>
      <c r="C45" s="9" t="s">
        <v>291</v>
      </c>
      <c r="D45" s="8" t="s">
        <v>292</v>
      </c>
      <c r="E45" s="8" t="s">
        <v>293</v>
      </c>
      <c r="F45" s="10" t="n">
        <v>730000</v>
      </c>
      <c r="G45" s="8" t="s">
        <v>22</v>
      </c>
      <c r="H45" s="12" t="s">
        <v>63</v>
      </c>
      <c r="I45" s="13" t="s">
        <v>115</v>
      </c>
      <c r="J45" s="9" t="s">
        <v>55</v>
      </c>
      <c r="K45" s="11" t="n">
        <v>97</v>
      </c>
      <c r="L45" s="8" t="s">
        <v>45</v>
      </c>
      <c r="M45" s="8" t="s">
        <v>45</v>
      </c>
      <c r="N45" s="8" t="s">
        <v>26</v>
      </c>
      <c r="O45" s="9" t="s">
        <v>27</v>
      </c>
      <c r="P45" s="9" t="s">
        <v>294</v>
      </c>
      <c r="Q45" s="9" t="s">
        <v>295</v>
      </c>
    </row>
    <row r="46" customFormat="false" ht="15" hidden="false" customHeight="true" outlineLevel="0" collapsed="false">
      <c r="A46" s="3" t="s">
        <v>296</v>
      </c>
      <c r="B46" s="4" t="s">
        <v>297</v>
      </c>
      <c r="C46" s="4" t="s">
        <v>298</v>
      </c>
      <c r="D46" s="3" t="s">
        <v>121</v>
      </c>
      <c r="E46" s="3" t="s">
        <v>122</v>
      </c>
      <c r="F46" s="5" t="n">
        <v>680000</v>
      </c>
      <c r="G46" s="3" t="s">
        <v>22</v>
      </c>
      <c r="H46" s="6" t="s">
        <v>23</v>
      </c>
      <c r="I46" s="6" t="s">
        <v>24</v>
      </c>
      <c r="J46" s="4" t="s">
        <v>25</v>
      </c>
      <c r="K46" s="7" t="n">
        <v>99.6</v>
      </c>
      <c r="L46" s="3" t="s">
        <v>26</v>
      </c>
      <c r="M46" s="3" t="s">
        <v>45</v>
      </c>
      <c r="N46" s="3" t="s">
        <v>45</v>
      </c>
      <c r="O46" s="4" t="s">
        <v>173</v>
      </c>
      <c r="P46" s="4" t="s">
        <v>299</v>
      </c>
      <c r="Q46" s="4" t="s">
        <v>300</v>
      </c>
    </row>
    <row r="47" customFormat="false" ht="15" hidden="false" customHeight="true" outlineLevel="0" collapsed="false">
      <c r="A47" s="8" t="s">
        <v>301</v>
      </c>
      <c r="B47" s="9" t="s">
        <v>302</v>
      </c>
      <c r="C47" s="9" t="s">
        <v>303</v>
      </c>
      <c r="D47" s="8" t="s">
        <v>52</v>
      </c>
      <c r="E47" s="8" t="s">
        <v>184</v>
      </c>
      <c r="F47" s="10" t="n">
        <v>1600000</v>
      </c>
      <c r="G47" s="8" t="s">
        <v>71</v>
      </c>
      <c r="H47" s="6" t="s">
        <v>23</v>
      </c>
      <c r="I47" s="12" t="s">
        <v>54</v>
      </c>
      <c r="J47" s="9" t="s">
        <v>36</v>
      </c>
      <c r="K47" s="11" t="n">
        <v>99</v>
      </c>
      <c r="L47" s="8" t="s">
        <v>26</v>
      </c>
      <c r="M47" s="8" t="s">
        <v>45</v>
      </c>
      <c r="N47" s="8" t="s">
        <v>26</v>
      </c>
      <c r="O47" s="9" t="s">
        <v>46</v>
      </c>
      <c r="P47" s="9" t="s">
        <v>228</v>
      </c>
      <c r="Q47" s="9" t="s">
        <v>304</v>
      </c>
    </row>
    <row r="48" customFormat="false" ht="15" hidden="false" customHeight="true" outlineLevel="0" collapsed="false">
      <c r="A48" s="3" t="s">
        <v>305</v>
      </c>
      <c r="B48" s="4" t="s">
        <v>306</v>
      </c>
      <c r="C48" s="4" t="s">
        <v>307</v>
      </c>
      <c r="D48" s="3" t="s">
        <v>42</v>
      </c>
      <c r="E48" s="3" t="s">
        <v>43</v>
      </c>
      <c r="F48" s="5" t="n">
        <v>740000</v>
      </c>
      <c r="G48" s="3" t="s">
        <v>22</v>
      </c>
      <c r="H48" s="6" t="s">
        <v>23</v>
      </c>
      <c r="I48" s="6" t="s">
        <v>24</v>
      </c>
      <c r="J48" s="4" t="s">
        <v>44</v>
      </c>
      <c r="K48" s="7" t="n">
        <v>99.8</v>
      </c>
      <c r="L48" s="3" t="s">
        <v>26</v>
      </c>
      <c r="M48" s="3" t="s">
        <v>45</v>
      </c>
      <c r="N48" s="3" t="s">
        <v>45</v>
      </c>
      <c r="O48" s="4" t="s">
        <v>173</v>
      </c>
      <c r="P48" s="4" t="s">
        <v>308</v>
      </c>
      <c r="Q48" s="4" t="s">
        <v>309</v>
      </c>
    </row>
    <row r="49" customFormat="false" ht="15" hidden="false" customHeight="true" outlineLevel="0" collapsed="false">
      <c r="A49" s="8" t="s">
        <v>310</v>
      </c>
      <c r="B49" s="9" t="s">
        <v>311</v>
      </c>
      <c r="C49" s="9" t="s">
        <v>312</v>
      </c>
      <c r="D49" s="8" t="s">
        <v>101</v>
      </c>
      <c r="E49" s="8" t="s">
        <v>166</v>
      </c>
      <c r="F49" s="10" t="n">
        <v>1050000</v>
      </c>
      <c r="G49" s="8" t="s">
        <v>35</v>
      </c>
      <c r="H49" s="6" t="s">
        <v>23</v>
      </c>
      <c r="I49" s="12" t="s">
        <v>54</v>
      </c>
      <c r="J49" s="9" t="s">
        <v>55</v>
      </c>
      <c r="K49" s="11" t="n">
        <v>99.5</v>
      </c>
      <c r="L49" s="8" t="s">
        <v>26</v>
      </c>
      <c r="M49" s="8" t="s">
        <v>26</v>
      </c>
      <c r="N49" s="8" t="s">
        <v>26</v>
      </c>
      <c r="O49" s="9" t="s">
        <v>46</v>
      </c>
      <c r="P49" s="9" t="s">
        <v>313</v>
      </c>
      <c r="Q49" s="9" t="s">
        <v>314</v>
      </c>
    </row>
    <row r="50" customFormat="false" ht="15" hidden="false" customHeight="true" outlineLevel="0" collapsed="false">
      <c r="A50" s="3" t="s">
        <v>315</v>
      </c>
      <c r="B50" s="4" t="s">
        <v>316</v>
      </c>
      <c r="C50" s="4" t="s">
        <v>317</v>
      </c>
      <c r="D50" s="3" t="s">
        <v>33</v>
      </c>
      <c r="E50" s="3" t="s">
        <v>137</v>
      </c>
      <c r="F50" s="5" t="n">
        <v>1380000</v>
      </c>
      <c r="G50" s="3" t="s">
        <v>35</v>
      </c>
      <c r="H50" s="6" t="s">
        <v>23</v>
      </c>
      <c r="I50" s="12" t="s">
        <v>54</v>
      </c>
      <c r="J50" s="4" t="s">
        <v>25</v>
      </c>
      <c r="K50" s="7" t="n">
        <v>99.6</v>
      </c>
      <c r="L50" s="3" t="s">
        <v>26</v>
      </c>
      <c r="M50" s="3" t="s">
        <v>45</v>
      </c>
      <c r="N50" s="3" t="s">
        <v>26</v>
      </c>
      <c r="O50" s="4" t="s">
        <v>27</v>
      </c>
      <c r="P50" s="4" t="s">
        <v>318</v>
      </c>
      <c r="Q50" s="4" t="s">
        <v>319</v>
      </c>
    </row>
    <row r="51" customFormat="false" ht="15" hidden="false" customHeight="true" outlineLevel="0" collapsed="false">
      <c r="A51" s="8" t="s">
        <v>320</v>
      </c>
      <c r="B51" s="9" t="s">
        <v>321</v>
      </c>
      <c r="C51" s="9" t="s">
        <v>322</v>
      </c>
      <c r="D51" s="8" t="s">
        <v>69</v>
      </c>
      <c r="E51" s="8" t="s">
        <v>286</v>
      </c>
      <c r="F51" s="10" t="n">
        <v>490000</v>
      </c>
      <c r="G51" s="8" t="s">
        <v>22</v>
      </c>
      <c r="H51" s="6" t="s">
        <v>23</v>
      </c>
      <c r="I51" s="6" t="s">
        <v>24</v>
      </c>
      <c r="J51" s="9" t="s">
        <v>36</v>
      </c>
      <c r="K51" s="11" t="n">
        <v>99.9</v>
      </c>
      <c r="L51" s="8" t="s">
        <v>26</v>
      </c>
      <c r="M51" s="8" t="s">
        <v>45</v>
      </c>
      <c r="N51" s="8" t="s">
        <v>45</v>
      </c>
      <c r="O51" s="9" t="s">
        <v>173</v>
      </c>
      <c r="P51" s="9" t="s">
        <v>323</v>
      </c>
      <c r="Q51" s="9" t="s">
        <v>324</v>
      </c>
    </row>
    <row r="52" customFormat="false" ht="15" hidden="false" customHeight="false" outlineLevel="0" collapsed="false">
      <c r="A52" s="15" t="s">
        <v>325</v>
      </c>
      <c r="B52" s="4" t="s">
        <v>326</v>
      </c>
      <c r="C52" s="4" t="s">
        <v>327</v>
      </c>
      <c r="D52" s="15" t="s">
        <v>292</v>
      </c>
      <c r="E52" s="15" t="s">
        <v>293</v>
      </c>
      <c r="F52" s="16" t="n">
        <v>1950000</v>
      </c>
      <c r="G52" s="15" t="s">
        <v>71</v>
      </c>
      <c r="H52" s="17" t="s">
        <v>23</v>
      </c>
      <c r="I52" s="18" t="s">
        <v>54</v>
      </c>
      <c r="J52" s="4" t="s">
        <v>55</v>
      </c>
      <c r="K52" s="19" t="n">
        <v>98.5</v>
      </c>
      <c r="L52" s="15" t="s">
        <v>26</v>
      </c>
      <c r="M52" s="15" t="s">
        <v>26</v>
      </c>
      <c r="N52" s="15" t="s">
        <v>26</v>
      </c>
      <c r="O52" s="4" t="s">
        <v>173</v>
      </c>
      <c r="P52" s="4" t="s">
        <v>155</v>
      </c>
      <c r="Q52" s="4" t="s">
        <v>328</v>
      </c>
    </row>
    <row r="53" customFormat="false" ht="15" hidden="false" customHeight="false" outlineLevel="0" collapsed="false">
      <c r="A53" s="20" t="s">
        <v>329</v>
      </c>
      <c r="B53" s="9" t="s">
        <v>330</v>
      </c>
      <c r="C53" s="9" t="s">
        <v>331</v>
      </c>
      <c r="D53" s="20" t="s">
        <v>101</v>
      </c>
      <c r="E53" s="20" t="s">
        <v>166</v>
      </c>
      <c r="F53" s="21" t="n">
        <v>1600000</v>
      </c>
      <c r="G53" s="20" t="s">
        <v>22</v>
      </c>
      <c r="H53" s="17" t="s">
        <v>23</v>
      </c>
      <c r="I53" s="22" t="s">
        <v>115</v>
      </c>
      <c r="J53" s="9" t="s">
        <v>36</v>
      </c>
      <c r="K53" s="23" t="n">
        <v>99</v>
      </c>
      <c r="L53" s="20" t="s">
        <v>26</v>
      </c>
      <c r="M53" s="20" t="s">
        <v>45</v>
      </c>
      <c r="N53" s="20" t="s">
        <v>26</v>
      </c>
      <c r="O53" s="9" t="s">
        <v>46</v>
      </c>
      <c r="P53" s="9" t="s">
        <v>313</v>
      </c>
      <c r="Q53" s="9" t="s">
        <v>332</v>
      </c>
    </row>
    <row r="54" customFormat="false" ht="15" hidden="false" customHeight="false" outlineLevel="0" collapsed="false">
      <c r="A54" s="15" t="s">
        <v>333</v>
      </c>
      <c r="B54" s="4" t="s">
        <v>334</v>
      </c>
      <c r="C54" s="4" t="s">
        <v>335</v>
      </c>
      <c r="D54" s="15" t="s">
        <v>270</v>
      </c>
      <c r="E54" s="15" t="s">
        <v>271</v>
      </c>
      <c r="F54" s="16" t="n">
        <v>2750000</v>
      </c>
      <c r="G54" s="15" t="s">
        <v>22</v>
      </c>
      <c r="H54" s="22" t="s">
        <v>131</v>
      </c>
      <c r="I54" s="18" t="s">
        <v>54</v>
      </c>
      <c r="J54" s="4" t="s">
        <v>55</v>
      </c>
      <c r="K54" s="19" t="n">
        <v>99.8</v>
      </c>
      <c r="L54" s="15" t="s">
        <v>26</v>
      </c>
      <c r="M54" s="15" t="s">
        <v>45</v>
      </c>
      <c r="N54" s="15" t="s">
        <v>26</v>
      </c>
      <c r="O54" s="4" t="s">
        <v>46</v>
      </c>
      <c r="P54" s="4" t="s">
        <v>195</v>
      </c>
      <c r="Q54" s="4" t="s">
        <v>336</v>
      </c>
    </row>
    <row r="55" customFormat="false" ht="15" hidden="false" customHeight="false" outlineLevel="0" collapsed="false">
      <c r="A55" s="20" t="s">
        <v>337</v>
      </c>
      <c r="B55" s="9" t="s">
        <v>338</v>
      </c>
      <c r="C55" s="9" t="s">
        <v>339</v>
      </c>
      <c r="D55" s="20" t="s">
        <v>340</v>
      </c>
      <c r="E55" s="20" t="s">
        <v>341</v>
      </c>
      <c r="F55" s="21" t="n">
        <v>1400000</v>
      </c>
      <c r="G55" s="20" t="s">
        <v>71</v>
      </c>
      <c r="H55" s="18" t="s">
        <v>63</v>
      </c>
      <c r="I55" s="18" t="s">
        <v>54</v>
      </c>
      <c r="J55" s="9" t="s">
        <v>36</v>
      </c>
      <c r="K55" s="23" t="n">
        <v>99</v>
      </c>
      <c r="L55" s="20" t="s">
        <v>26</v>
      </c>
      <c r="M55" s="20" t="s">
        <v>45</v>
      </c>
      <c r="N55" s="20" t="s">
        <v>26</v>
      </c>
      <c r="O55" s="9" t="s">
        <v>46</v>
      </c>
      <c r="P55" s="9" t="s">
        <v>342</v>
      </c>
      <c r="Q55" s="9" t="s">
        <v>343</v>
      </c>
    </row>
    <row r="56" customFormat="false" ht="15" hidden="false" customHeight="false" outlineLevel="0" collapsed="false">
      <c r="A56" s="15" t="s">
        <v>344</v>
      </c>
      <c r="B56" s="4" t="s">
        <v>345</v>
      </c>
      <c r="C56" s="4" t="s">
        <v>346</v>
      </c>
      <c r="D56" s="15" t="s">
        <v>20</v>
      </c>
      <c r="E56" s="15" t="s">
        <v>43</v>
      </c>
      <c r="F56" s="16" t="n">
        <v>450000</v>
      </c>
      <c r="G56" s="15" t="s">
        <v>71</v>
      </c>
      <c r="H56" s="17" t="s">
        <v>23</v>
      </c>
      <c r="I56" s="18" t="s">
        <v>54</v>
      </c>
      <c r="J56" s="4" t="s">
        <v>347</v>
      </c>
      <c r="K56" s="19" t="n">
        <v>99</v>
      </c>
      <c r="L56" s="15" t="s">
        <v>45</v>
      </c>
      <c r="M56" s="15" t="s">
        <v>26</v>
      </c>
      <c r="N56" s="15" t="s">
        <v>45</v>
      </c>
      <c r="O56" s="4" t="s">
        <v>27</v>
      </c>
      <c r="P56" s="4" t="s">
        <v>64</v>
      </c>
      <c r="Q56" s="4" t="s">
        <v>348</v>
      </c>
    </row>
    <row r="57" customFormat="false" ht="15" hidden="false" customHeight="false" outlineLevel="0" collapsed="false">
      <c r="A57" s="20" t="s">
        <v>349</v>
      </c>
      <c r="B57" s="9" t="s">
        <v>350</v>
      </c>
      <c r="C57" s="9" t="s">
        <v>351</v>
      </c>
      <c r="D57" s="20" t="s">
        <v>352</v>
      </c>
      <c r="E57" s="20" t="s">
        <v>353</v>
      </c>
      <c r="F57" s="21" t="n">
        <v>100000</v>
      </c>
      <c r="G57" s="20" t="s">
        <v>22</v>
      </c>
      <c r="H57" s="17" t="s">
        <v>23</v>
      </c>
      <c r="I57" s="17" t="s">
        <v>24</v>
      </c>
      <c r="J57" s="9" t="s">
        <v>25</v>
      </c>
      <c r="K57" s="23" t="n">
        <v>98.5</v>
      </c>
      <c r="L57" s="20" t="s">
        <v>26</v>
      </c>
      <c r="M57" s="20" t="s">
        <v>45</v>
      </c>
      <c r="N57" s="20" t="s">
        <v>45</v>
      </c>
      <c r="O57" s="9" t="s">
        <v>173</v>
      </c>
      <c r="P57" s="9" t="s">
        <v>323</v>
      </c>
      <c r="Q57" s="9" t="s">
        <v>354</v>
      </c>
    </row>
    <row r="58" customFormat="false" ht="15" hidden="false" customHeight="false" outlineLevel="0" collapsed="false">
      <c r="A58" s="15" t="s">
        <v>355</v>
      </c>
      <c r="B58" s="4" t="s">
        <v>356</v>
      </c>
      <c r="C58" s="4" t="s">
        <v>357</v>
      </c>
      <c r="D58" s="15" t="s">
        <v>340</v>
      </c>
      <c r="E58" s="15" t="s">
        <v>341</v>
      </c>
      <c r="F58" s="16" t="n">
        <v>1250000</v>
      </c>
      <c r="G58" s="15" t="s">
        <v>35</v>
      </c>
      <c r="H58" s="18" t="s">
        <v>63</v>
      </c>
      <c r="I58" s="18" t="s">
        <v>54</v>
      </c>
      <c r="J58" s="4" t="s">
        <v>36</v>
      </c>
      <c r="K58" s="19" t="n">
        <v>99.8</v>
      </c>
      <c r="L58" s="15" t="s">
        <v>26</v>
      </c>
      <c r="M58" s="15" t="s">
        <v>45</v>
      </c>
      <c r="N58" s="15" t="s">
        <v>45</v>
      </c>
      <c r="O58" s="4" t="s">
        <v>173</v>
      </c>
      <c r="P58" s="4" t="s">
        <v>37</v>
      </c>
      <c r="Q58" s="4" t="s">
        <v>358</v>
      </c>
    </row>
    <row r="59" customFormat="false" ht="15" hidden="false" customHeight="false" outlineLevel="0" collapsed="false">
      <c r="A59" s="20" t="s">
        <v>359</v>
      </c>
      <c r="B59" s="9" t="s">
        <v>360</v>
      </c>
      <c r="C59" s="9" t="s">
        <v>361</v>
      </c>
      <c r="D59" s="20" t="s">
        <v>33</v>
      </c>
      <c r="E59" s="20" t="s">
        <v>172</v>
      </c>
      <c r="F59" s="21" t="n">
        <v>2650000</v>
      </c>
      <c r="G59" s="20" t="s">
        <v>71</v>
      </c>
      <c r="H59" s="18" t="s">
        <v>63</v>
      </c>
      <c r="I59" s="18" t="s">
        <v>54</v>
      </c>
      <c r="J59" s="9" t="s">
        <v>347</v>
      </c>
      <c r="K59" s="23" t="n">
        <v>98.5</v>
      </c>
      <c r="L59" s="20" t="s">
        <v>26</v>
      </c>
      <c r="M59" s="20" t="s">
        <v>45</v>
      </c>
      <c r="N59" s="20" t="s">
        <v>45</v>
      </c>
      <c r="O59" s="9" t="s">
        <v>173</v>
      </c>
      <c r="P59" s="9" t="s">
        <v>72</v>
      </c>
      <c r="Q59" s="9" t="s">
        <v>362</v>
      </c>
    </row>
    <row r="60" customFormat="false" ht="15" hidden="false" customHeight="false" outlineLevel="0" collapsed="false">
      <c r="A60" s="15" t="s">
        <v>363</v>
      </c>
      <c r="B60" s="4" t="s">
        <v>364</v>
      </c>
      <c r="C60" s="4" t="s">
        <v>365</v>
      </c>
      <c r="D60" s="15" t="s">
        <v>33</v>
      </c>
      <c r="E60" s="15" t="s">
        <v>172</v>
      </c>
      <c r="F60" s="16" t="n">
        <v>400000</v>
      </c>
      <c r="G60" s="15" t="s">
        <v>22</v>
      </c>
      <c r="H60" s="18" t="s">
        <v>63</v>
      </c>
      <c r="I60" s="17" t="s">
        <v>24</v>
      </c>
      <c r="J60" s="4" t="s">
        <v>55</v>
      </c>
      <c r="K60" s="19" t="n">
        <v>98</v>
      </c>
      <c r="L60" s="15" t="s">
        <v>26</v>
      </c>
      <c r="M60" s="15" t="s">
        <v>26</v>
      </c>
      <c r="N60" s="15" t="s">
        <v>45</v>
      </c>
      <c r="O60" s="4" t="s">
        <v>173</v>
      </c>
      <c r="P60" s="4" t="s">
        <v>64</v>
      </c>
      <c r="Q60" s="4" t="s">
        <v>366</v>
      </c>
    </row>
    <row r="61" customFormat="false" ht="15" hidden="false" customHeight="false" outlineLevel="0" collapsed="false">
      <c r="A61" s="20" t="s">
        <v>367</v>
      </c>
      <c r="B61" s="9" t="s">
        <v>368</v>
      </c>
      <c r="C61" s="9" t="s">
        <v>369</v>
      </c>
      <c r="D61" s="20" t="s">
        <v>20</v>
      </c>
      <c r="E61" s="20" t="s">
        <v>43</v>
      </c>
      <c r="F61" s="21" t="n">
        <v>2500000</v>
      </c>
      <c r="G61" s="20" t="s">
        <v>71</v>
      </c>
      <c r="H61" s="18" t="s">
        <v>63</v>
      </c>
      <c r="I61" s="17" t="s">
        <v>24</v>
      </c>
      <c r="J61" s="9" t="s">
        <v>25</v>
      </c>
      <c r="K61" s="23" t="n">
        <v>99.95</v>
      </c>
      <c r="L61" s="20" t="s">
        <v>26</v>
      </c>
      <c r="M61" s="20" t="s">
        <v>45</v>
      </c>
      <c r="N61" s="20" t="s">
        <v>26</v>
      </c>
      <c r="O61" s="9" t="s">
        <v>46</v>
      </c>
      <c r="P61" s="9" t="s">
        <v>64</v>
      </c>
      <c r="Q61" s="9" t="s">
        <v>370</v>
      </c>
    </row>
    <row r="62" customFormat="false" ht="15" hidden="false" customHeight="false" outlineLevel="0" collapsed="false">
      <c r="A62" s="15" t="s">
        <v>371</v>
      </c>
      <c r="B62" s="4" t="s">
        <v>372</v>
      </c>
      <c r="C62" s="4" t="s">
        <v>373</v>
      </c>
      <c r="D62" s="15" t="s">
        <v>101</v>
      </c>
      <c r="E62" s="15" t="s">
        <v>166</v>
      </c>
      <c r="F62" s="16" t="n">
        <v>2700000</v>
      </c>
      <c r="G62" s="15" t="s">
        <v>35</v>
      </c>
      <c r="H62" s="17" t="s">
        <v>23</v>
      </c>
      <c r="I62" s="18" t="s">
        <v>54</v>
      </c>
      <c r="J62" s="4" t="s">
        <v>55</v>
      </c>
      <c r="K62" s="19" t="n">
        <v>97</v>
      </c>
      <c r="L62" s="15" t="s">
        <v>26</v>
      </c>
      <c r="M62" s="15" t="s">
        <v>26</v>
      </c>
      <c r="N62" s="15" t="s">
        <v>45</v>
      </c>
      <c r="O62" s="4" t="s">
        <v>46</v>
      </c>
      <c r="P62" s="4" t="s">
        <v>195</v>
      </c>
      <c r="Q62" s="4" t="s">
        <v>374</v>
      </c>
    </row>
    <row r="63" customFormat="false" ht="15" hidden="false" customHeight="false" outlineLevel="0" collapsed="false">
      <c r="A63" s="20" t="s">
        <v>375</v>
      </c>
      <c r="B63" s="9" t="s">
        <v>376</v>
      </c>
      <c r="C63" s="9" t="s">
        <v>377</v>
      </c>
      <c r="D63" s="20" t="s">
        <v>20</v>
      </c>
      <c r="E63" s="20" t="s">
        <v>43</v>
      </c>
      <c r="F63" s="21" t="n">
        <v>1750000</v>
      </c>
      <c r="G63" s="20" t="s">
        <v>22</v>
      </c>
      <c r="H63" s="24" t="s">
        <v>123</v>
      </c>
      <c r="I63" s="18" t="s">
        <v>54</v>
      </c>
      <c r="J63" s="9" t="s">
        <v>55</v>
      </c>
      <c r="K63" s="23" t="n">
        <v>98</v>
      </c>
      <c r="L63" s="20" t="s">
        <v>26</v>
      </c>
      <c r="M63" s="20" t="s">
        <v>26</v>
      </c>
      <c r="N63" s="20" t="s">
        <v>45</v>
      </c>
      <c r="O63" s="9" t="s">
        <v>27</v>
      </c>
      <c r="P63" s="9" t="s">
        <v>313</v>
      </c>
      <c r="Q63" s="9" t="s">
        <v>378</v>
      </c>
    </row>
    <row r="64" customFormat="false" ht="15" hidden="false" customHeight="false" outlineLevel="0" collapsed="false">
      <c r="A64" s="15" t="s">
        <v>379</v>
      </c>
      <c r="B64" s="4" t="s">
        <v>380</v>
      </c>
      <c r="C64" s="4" t="s">
        <v>381</v>
      </c>
      <c r="D64" s="15" t="s">
        <v>121</v>
      </c>
      <c r="E64" s="15" t="s">
        <v>122</v>
      </c>
      <c r="F64" s="16" t="n">
        <v>750000</v>
      </c>
      <c r="G64" s="15" t="s">
        <v>35</v>
      </c>
      <c r="H64" s="24" t="s">
        <v>123</v>
      </c>
      <c r="I64" s="18" t="s">
        <v>54</v>
      </c>
      <c r="J64" s="4" t="s">
        <v>55</v>
      </c>
      <c r="K64" s="19" t="n">
        <v>99.5</v>
      </c>
      <c r="L64" s="15" t="s">
        <v>26</v>
      </c>
      <c r="M64" s="15" t="s">
        <v>45</v>
      </c>
      <c r="N64" s="15" t="s">
        <v>45</v>
      </c>
      <c r="O64" s="4" t="s">
        <v>173</v>
      </c>
      <c r="P64" s="4" t="s">
        <v>132</v>
      </c>
      <c r="Q64" s="4" t="s">
        <v>382</v>
      </c>
    </row>
    <row r="65" customFormat="false" ht="15" hidden="false" customHeight="false" outlineLevel="0" collapsed="false">
      <c r="A65" s="20" t="s">
        <v>383</v>
      </c>
      <c r="B65" s="9" t="s">
        <v>384</v>
      </c>
      <c r="C65" s="9" t="s">
        <v>385</v>
      </c>
      <c r="D65" s="20" t="s">
        <v>352</v>
      </c>
      <c r="E65" s="20" t="s">
        <v>353</v>
      </c>
      <c r="F65" s="21" t="n">
        <v>2850000</v>
      </c>
      <c r="G65" s="20" t="s">
        <v>35</v>
      </c>
      <c r="H65" s="24" t="s">
        <v>123</v>
      </c>
      <c r="I65" s="18" t="s">
        <v>54</v>
      </c>
      <c r="J65" s="9" t="s">
        <v>44</v>
      </c>
      <c r="K65" s="23" t="n">
        <v>99.95</v>
      </c>
      <c r="L65" s="20" t="s">
        <v>26</v>
      </c>
      <c r="M65" s="20" t="s">
        <v>45</v>
      </c>
      <c r="N65" s="20" t="s">
        <v>26</v>
      </c>
      <c r="O65" s="9" t="s">
        <v>27</v>
      </c>
      <c r="P65" s="9" t="s">
        <v>179</v>
      </c>
      <c r="Q65" s="9" t="s">
        <v>386</v>
      </c>
    </row>
    <row r="66" customFormat="false" ht="15" hidden="false" customHeight="false" outlineLevel="0" collapsed="false">
      <c r="A66" s="15" t="s">
        <v>387</v>
      </c>
      <c r="B66" s="4" t="s">
        <v>388</v>
      </c>
      <c r="C66" s="4" t="s">
        <v>389</v>
      </c>
      <c r="D66" s="15" t="s">
        <v>108</v>
      </c>
      <c r="E66" s="15" t="s">
        <v>109</v>
      </c>
      <c r="F66" s="16" t="n">
        <v>1400000</v>
      </c>
      <c r="G66" s="15" t="s">
        <v>71</v>
      </c>
      <c r="H66" s="17" t="s">
        <v>23</v>
      </c>
      <c r="I66" s="22" t="s">
        <v>115</v>
      </c>
      <c r="J66" s="4" t="s">
        <v>347</v>
      </c>
      <c r="K66" s="19" t="n">
        <v>99.5</v>
      </c>
      <c r="L66" s="15" t="s">
        <v>26</v>
      </c>
      <c r="M66" s="15" t="s">
        <v>45</v>
      </c>
      <c r="N66" s="15" t="s">
        <v>26</v>
      </c>
      <c r="O66" s="4" t="s">
        <v>46</v>
      </c>
      <c r="P66" s="4" t="s">
        <v>313</v>
      </c>
      <c r="Q66" s="4" t="s">
        <v>390</v>
      </c>
    </row>
    <row r="67" customFormat="false" ht="15" hidden="false" customHeight="false" outlineLevel="0" collapsed="false">
      <c r="A67" s="20" t="s">
        <v>391</v>
      </c>
      <c r="B67" s="9" t="s">
        <v>392</v>
      </c>
      <c r="C67" s="9" t="s">
        <v>393</v>
      </c>
      <c r="D67" s="20" t="s">
        <v>33</v>
      </c>
      <c r="E67" s="20" t="s">
        <v>172</v>
      </c>
      <c r="F67" s="21" t="n">
        <v>1100000</v>
      </c>
      <c r="G67" s="20" t="s">
        <v>71</v>
      </c>
      <c r="H67" s="17" t="s">
        <v>23</v>
      </c>
      <c r="I67" s="18" t="s">
        <v>54</v>
      </c>
      <c r="J67" s="9" t="s">
        <v>36</v>
      </c>
      <c r="K67" s="23" t="n">
        <v>99</v>
      </c>
      <c r="L67" s="20" t="s">
        <v>26</v>
      </c>
      <c r="M67" s="20" t="s">
        <v>26</v>
      </c>
      <c r="N67" s="20" t="s">
        <v>45</v>
      </c>
      <c r="O67" s="9" t="s">
        <v>27</v>
      </c>
      <c r="P67" s="9" t="s">
        <v>179</v>
      </c>
      <c r="Q67" s="9" t="s">
        <v>394</v>
      </c>
    </row>
    <row r="68" customFormat="false" ht="15" hidden="false" customHeight="false" outlineLevel="0" collapsed="false">
      <c r="A68" s="15" t="s">
        <v>395</v>
      </c>
      <c r="B68" s="4" t="s">
        <v>396</v>
      </c>
      <c r="C68" s="4" t="s">
        <v>397</v>
      </c>
      <c r="D68" s="15" t="s">
        <v>121</v>
      </c>
      <c r="E68" s="15" t="s">
        <v>122</v>
      </c>
      <c r="F68" s="16" t="n">
        <v>850000</v>
      </c>
      <c r="G68" s="15" t="s">
        <v>22</v>
      </c>
      <c r="H68" s="24" t="s">
        <v>123</v>
      </c>
      <c r="I68" s="17" t="s">
        <v>24</v>
      </c>
      <c r="J68" s="4" t="s">
        <v>55</v>
      </c>
      <c r="K68" s="19" t="n">
        <v>99.9</v>
      </c>
      <c r="L68" s="15" t="s">
        <v>45</v>
      </c>
      <c r="M68" s="15" t="s">
        <v>45</v>
      </c>
      <c r="N68" s="15" t="s">
        <v>26</v>
      </c>
      <c r="O68" s="4" t="s">
        <v>46</v>
      </c>
      <c r="P68" s="4" t="s">
        <v>212</v>
      </c>
      <c r="Q68" s="4" t="s">
        <v>398</v>
      </c>
    </row>
    <row r="69" customFormat="false" ht="15" hidden="false" customHeight="false" outlineLevel="0" collapsed="false">
      <c r="A69" s="20" t="s">
        <v>399</v>
      </c>
      <c r="B69" s="9" t="s">
        <v>400</v>
      </c>
      <c r="C69" s="9" t="s">
        <v>401</v>
      </c>
      <c r="D69" s="20" t="s">
        <v>69</v>
      </c>
      <c r="E69" s="20" t="s">
        <v>286</v>
      </c>
      <c r="F69" s="21" t="n">
        <v>650000</v>
      </c>
      <c r="G69" s="20" t="s">
        <v>35</v>
      </c>
      <c r="H69" s="18" t="s">
        <v>63</v>
      </c>
      <c r="I69" s="17" t="s">
        <v>24</v>
      </c>
      <c r="J69" s="9" t="s">
        <v>36</v>
      </c>
      <c r="K69" s="23" t="n">
        <v>97</v>
      </c>
      <c r="L69" s="20" t="s">
        <v>45</v>
      </c>
      <c r="M69" s="20" t="s">
        <v>45</v>
      </c>
      <c r="N69" s="20" t="s">
        <v>26</v>
      </c>
      <c r="O69" s="9" t="s">
        <v>27</v>
      </c>
      <c r="P69" s="9" t="s">
        <v>143</v>
      </c>
      <c r="Q69" s="9" t="s">
        <v>402</v>
      </c>
    </row>
    <row r="70" customFormat="false" ht="15" hidden="false" customHeight="false" outlineLevel="0" collapsed="false">
      <c r="A70" s="15" t="s">
        <v>403</v>
      </c>
      <c r="B70" s="4" t="s">
        <v>404</v>
      </c>
      <c r="C70" s="4" t="s">
        <v>405</v>
      </c>
      <c r="D70" s="15" t="s">
        <v>69</v>
      </c>
      <c r="E70" s="15" t="s">
        <v>286</v>
      </c>
      <c r="F70" s="16" t="n">
        <v>1700000</v>
      </c>
      <c r="G70" s="15" t="s">
        <v>71</v>
      </c>
      <c r="H70" s="17" t="s">
        <v>23</v>
      </c>
      <c r="I70" s="18" t="s">
        <v>54</v>
      </c>
      <c r="J70" s="4" t="s">
        <v>25</v>
      </c>
      <c r="K70" s="19" t="n">
        <v>99.5</v>
      </c>
      <c r="L70" s="15" t="s">
        <v>26</v>
      </c>
      <c r="M70" s="15" t="s">
        <v>45</v>
      </c>
      <c r="N70" s="15" t="s">
        <v>26</v>
      </c>
      <c r="O70" s="4" t="s">
        <v>173</v>
      </c>
      <c r="P70" s="4" t="s">
        <v>179</v>
      </c>
      <c r="Q70" s="4" t="s">
        <v>406</v>
      </c>
    </row>
    <row r="71" customFormat="false" ht="15" hidden="false" customHeight="false" outlineLevel="0" collapsed="false">
      <c r="A71" s="20" t="s">
        <v>407</v>
      </c>
      <c r="B71" s="9" t="s">
        <v>408</v>
      </c>
      <c r="C71" s="9" t="s">
        <v>204</v>
      </c>
      <c r="D71" s="20" t="s">
        <v>33</v>
      </c>
      <c r="E71" s="20" t="s">
        <v>172</v>
      </c>
      <c r="F71" s="21" t="n">
        <v>1000000</v>
      </c>
      <c r="G71" s="20" t="s">
        <v>35</v>
      </c>
      <c r="H71" s="17" t="s">
        <v>23</v>
      </c>
      <c r="I71" s="17" t="s">
        <v>24</v>
      </c>
      <c r="J71" s="9" t="s">
        <v>55</v>
      </c>
      <c r="K71" s="23" t="n">
        <v>99.8</v>
      </c>
      <c r="L71" s="20" t="s">
        <v>45</v>
      </c>
      <c r="M71" s="20" t="s">
        <v>45</v>
      </c>
      <c r="N71" s="20" t="s">
        <v>45</v>
      </c>
      <c r="O71" s="9" t="s">
        <v>173</v>
      </c>
      <c r="P71" s="9" t="s">
        <v>77</v>
      </c>
      <c r="Q71" s="9" t="s">
        <v>409</v>
      </c>
    </row>
    <row r="72" customFormat="false" ht="15" hidden="false" customHeight="false" outlineLevel="0" collapsed="false">
      <c r="A72" s="15" t="s">
        <v>410</v>
      </c>
      <c r="B72" s="4" t="s">
        <v>411</v>
      </c>
      <c r="C72" s="4" t="s">
        <v>412</v>
      </c>
      <c r="D72" s="15" t="s">
        <v>52</v>
      </c>
      <c r="E72" s="15" t="s">
        <v>53</v>
      </c>
      <c r="F72" s="16" t="n">
        <v>1100000</v>
      </c>
      <c r="G72" s="15" t="s">
        <v>35</v>
      </c>
      <c r="H72" s="17" t="s">
        <v>23</v>
      </c>
      <c r="I72" s="17" t="s">
        <v>24</v>
      </c>
      <c r="J72" s="4" t="s">
        <v>36</v>
      </c>
      <c r="K72" s="19" t="n">
        <v>98.5</v>
      </c>
      <c r="L72" s="15" t="s">
        <v>26</v>
      </c>
      <c r="M72" s="15" t="s">
        <v>45</v>
      </c>
      <c r="N72" s="15" t="s">
        <v>45</v>
      </c>
      <c r="O72" s="4" t="s">
        <v>46</v>
      </c>
      <c r="P72" s="4" t="s">
        <v>413</v>
      </c>
      <c r="Q72" s="4" t="s">
        <v>414</v>
      </c>
    </row>
    <row r="73" customFormat="false" ht="15" hidden="false" customHeight="false" outlineLevel="0" collapsed="false">
      <c r="A73" s="20" t="s">
        <v>415</v>
      </c>
      <c r="B73" s="9" t="s">
        <v>416</v>
      </c>
      <c r="C73" s="9" t="s">
        <v>60</v>
      </c>
      <c r="D73" s="20" t="s">
        <v>108</v>
      </c>
      <c r="E73" s="20" t="s">
        <v>109</v>
      </c>
      <c r="F73" s="21" t="n">
        <v>1500000</v>
      </c>
      <c r="G73" s="20" t="s">
        <v>71</v>
      </c>
      <c r="H73" s="17" t="s">
        <v>23</v>
      </c>
      <c r="I73" s="18" t="s">
        <v>54</v>
      </c>
      <c r="J73" s="9" t="s">
        <v>25</v>
      </c>
      <c r="K73" s="23" t="n">
        <v>99.9</v>
      </c>
      <c r="L73" s="20" t="s">
        <v>26</v>
      </c>
      <c r="M73" s="20" t="s">
        <v>45</v>
      </c>
      <c r="N73" s="20" t="s">
        <v>45</v>
      </c>
      <c r="O73" s="9" t="s">
        <v>27</v>
      </c>
      <c r="P73" s="9" t="s">
        <v>64</v>
      </c>
      <c r="Q73" s="9" t="s">
        <v>417</v>
      </c>
    </row>
    <row r="74" customFormat="false" ht="15" hidden="false" customHeight="false" outlineLevel="0" collapsed="false">
      <c r="A74" s="15" t="s">
        <v>418</v>
      </c>
      <c r="B74" s="4" t="s">
        <v>419</v>
      </c>
      <c r="C74" s="4" t="s">
        <v>420</v>
      </c>
      <c r="D74" s="15" t="s">
        <v>69</v>
      </c>
      <c r="E74" s="15" t="s">
        <v>286</v>
      </c>
      <c r="F74" s="16" t="n">
        <v>50000</v>
      </c>
      <c r="G74" s="15" t="s">
        <v>71</v>
      </c>
      <c r="H74" s="17" t="s">
        <v>23</v>
      </c>
      <c r="I74" s="17" t="s">
        <v>24</v>
      </c>
      <c r="J74" s="4" t="s">
        <v>347</v>
      </c>
      <c r="K74" s="19" t="n">
        <v>98</v>
      </c>
      <c r="L74" s="15" t="s">
        <v>26</v>
      </c>
      <c r="M74" s="15" t="s">
        <v>45</v>
      </c>
      <c r="N74" s="15" t="s">
        <v>26</v>
      </c>
      <c r="O74" s="4" t="s">
        <v>46</v>
      </c>
      <c r="P74" s="4" t="s">
        <v>28</v>
      </c>
      <c r="Q74" s="4" t="s">
        <v>421</v>
      </c>
    </row>
    <row r="75" customFormat="false" ht="15" hidden="false" customHeight="false" outlineLevel="0" collapsed="false">
      <c r="A75" s="20" t="s">
        <v>422</v>
      </c>
      <c r="B75" s="9" t="s">
        <v>423</v>
      </c>
      <c r="C75" s="9" t="s">
        <v>424</v>
      </c>
      <c r="D75" s="20" t="s">
        <v>121</v>
      </c>
      <c r="E75" s="20" t="s">
        <v>122</v>
      </c>
      <c r="F75" s="21" t="n">
        <v>50000</v>
      </c>
      <c r="G75" s="20" t="s">
        <v>35</v>
      </c>
      <c r="H75" s="17" t="s">
        <v>23</v>
      </c>
      <c r="I75" s="22" t="s">
        <v>115</v>
      </c>
      <c r="J75" s="9" t="s">
        <v>25</v>
      </c>
      <c r="K75" s="23" t="n">
        <v>99.8</v>
      </c>
      <c r="L75" s="20" t="s">
        <v>26</v>
      </c>
      <c r="M75" s="20" t="s">
        <v>45</v>
      </c>
      <c r="N75" s="20" t="s">
        <v>26</v>
      </c>
      <c r="O75" s="9" t="s">
        <v>173</v>
      </c>
      <c r="P75" s="9" t="s">
        <v>425</v>
      </c>
      <c r="Q75" s="9" t="s">
        <v>426</v>
      </c>
    </row>
    <row r="76" customFormat="false" ht="15" hidden="false" customHeight="false" outlineLevel="0" collapsed="false">
      <c r="A76" s="15" t="s">
        <v>427</v>
      </c>
      <c r="B76" s="4" t="s">
        <v>428</v>
      </c>
      <c r="C76" s="4" t="s">
        <v>429</v>
      </c>
      <c r="D76" s="15" t="s">
        <v>20</v>
      </c>
      <c r="E76" s="15" t="s">
        <v>43</v>
      </c>
      <c r="F76" s="16" t="n">
        <v>1650000</v>
      </c>
      <c r="G76" s="15" t="s">
        <v>22</v>
      </c>
      <c r="H76" s="17" t="s">
        <v>23</v>
      </c>
      <c r="I76" s="17" t="s">
        <v>24</v>
      </c>
      <c r="J76" s="4" t="s">
        <v>55</v>
      </c>
      <c r="K76" s="19" t="n">
        <v>99</v>
      </c>
      <c r="L76" s="15" t="s">
        <v>45</v>
      </c>
      <c r="M76" s="15" t="s">
        <v>45</v>
      </c>
      <c r="N76" s="15" t="s">
        <v>26</v>
      </c>
      <c r="O76" s="4" t="s">
        <v>46</v>
      </c>
      <c r="P76" s="4" t="s">
        <v>37</v>
      </c>
      <c r="Q76" s="4" t="s">
        <v>430</v>
      </c>
    </row>
    <row r="77" customFormat="false" ht="15" hidden="false" customHeight="false" outlineLevel="0" collapsed="false">
      <c r="A77" s="20" t="s">
        <v>431</v>
      </c>
      <c r="B77" s="9" t="s">
        <v>432</v>
      </c>
      <c r="C77" s="9" t="s">
        <v>433</v>
      </c>
      <c r="D77" s="20" t="s">
        <v>52</v>
      </c>
      <c r="E77" s="20" t="s">
        <v>53</v>
      </c>
      <c r="F77" s="21" t="n">
        <v>550000</v>
      </c>
      <c r="G77" s="20" t="s">
        <v>71</v>
      </c>
      <c r="H77" s="17" t="s">
        <v>23</v>
      </c>
      <c r="I77" s="17" t="s">
        <v>24</v>
      </c>
      <c r="J77" s="9" t="s">
        <v>36</v>
      </c>
      <c r="K77" s="23" t="n">
        <v>99.5</v>
      </c>
      <c r="L77" s="20" t="s">
        <v>26</v>
      </c>
      <c r="M77" s="20" t="s">
        <v>45</v>
      </c>
      <c r="N77" s="20" t="s">
        <v>45</v>
      </c>
      <c r="O77" s="9" t="s">
        <v>173</v>
      </c>
      <c r="P77" s="9" t="s">
        <v>413</v>
      </c>
      <c r="Q77" s="9" t="s">
        <v>434</v>
      </c>
    </row>
    <row r="78" customFormat="false" ht="15" hidden="false" customHeight="false" outlineLevel="0" collapsed="false">
      <c r="A78" s="15" t="s">
        <v>435</v>
      </c>
      <c r="B78" s="4" t="s">
        <v>436</v>
      </c>
      <c r="C78" s="4" t="s">
        <v>437</v>
      </c>
      <c r="D78" s="15" t="s">
        <v>20</v>
      </c>
      <c r="E78" s="15" t="s">
        <v>43</v>
      </c>
      <c r="F78" s="16" t="n">
        <v>2100000</v>
      </c>
      <c r="G78" s="15" t="s">
        <v>22</v>
      </c>
      <c r="H78" s="22" t="s">
        <v>131</v>
      </c>
      <c r="I78" s="17" t="s">
        <v>24</v>
      </c>
      <c r="J78" s="4" t="s">
        <v>36</v>
      </c>
      <c r="K78" s="19" t="n">
        <v>99.99</v>
      </c>
      <c r="L78" s="15" t="s">
        <v>26</v>
      </c>
      <c r="M78" s="15" t="s">
        <v>45</v>
      </c>
      <c r="N78" s="15" t="s">
        <v>26</v>
      </c>
      <c r="O78" s="4" t="s">
        <v>27</v>
      </c>
      <c r="P78" s="4" t="s">
        <v>72</v>
      </c>
      <c r="Q78" s="4" t="s">
        <v>438</v>
      </c>
    </row>
    <row r="79" customFormat="false" ht="15" hidden="false" customHeight="false" outlineLevel="0" collapsed="false">
      <c r="A79" s="20" t="s">
        <v>439</v>
      </c>
      <c r="B79" s="9" t="s">
        <v>440</v>
      </c>
      <c r="C79" s="9" t="s">
        <v>441</v>
      </c>
      <c r="D79" s="20" t="s">
        <v>340</v>
      </c>
      <c r="E79" s="20" t="s">
        <v>341</v>
      </c>
      <c r="F79" s="21" t="n">
        <v>2450000</v>
      </c>
      <c r="G79" s="20" t="s">
        <v>71</v>
      </c>
      <c r="H79" s="17" t="s">
        <v>23</v>
      </c>
      <c r="I79" s="22" t="s">
        <v>115</v>
      </c>
      <c r="J79" s="9" t="s">
        <v>347</v>
      </c>
      <c r="K79" s="23" t="n">
        <v>99.99</v>
      </c>
      <c r="L79" s="20" t="s">
        <v>45</v>
      </c>
      <c r="M79" s="20" t="s">
        <v>45</v>
      </c>
      <c r="N79" s="20" t="s">
        <v>26</v>
      </c>
      <c r="O79" s="9" t="s">
        <v>46</v>
      </c>
      <c r="P79" s="9" t="s">
        <v>132</v>
      </c>
      <c r="Q79" s="9" t="s">
        <v>442</v>
      </c>
    </row>
    <row r="80" customFormat="false" ht="15" hidden="false" customHeight="false" outlineLevel="0" collapsed="false">
      <c r="A80" s="15" t="s">
        <v>443</v>
      </c>
      <c r="B80" s="4" t="s">
        <v>444</v>
      </c>
      <c r="C80" s="4" t="s">
        <v>445</v>
      </c>
      <c r="D80" s="15" t="s">
        <v>20</v>
      </c>
      <c r="E80" s="15" t="s">
        <v>43</v>
      </c>
      <c r="F80" s="16" t="n">
        <v>2500000</v>
      </c>
      <c r="G80" s="15" t="s">
        <v>71</v>
      </c>
      <c r="H80" s="17" t="s">
        <v>23</v>
      </c>
      <c r="I80" s="22" t="s">
        <v>115</v>
      </c>
      <c r="J80" s="4" t="s">
        <v>36</v>
      </c>
      <c r="K80" s="19" t="n">
        <v>97</v>
      </c>
      <c r="L80" s="15" t="s">
        <v>26</v>
      </c>
      <c r="M80" s="15" t="s">
        <v>45</v>
      </c>
      <c r="N80" s="15" t="s">
        <v>45</v>
      </c>
      <c r="O80" s="4" t="s">
        <v>173</v>
      </c>
      <c r="P80" s="4" t="s">
        <v>179</v>
      </c>
      <c r="Q80" s="4" t="s">
        <v>446</v>
      </c>
    </row>
    <row r="81" customFormat="false" ht="15" hidden="false" customHeight="false" outlineLevel="0" collapsed="false">
      <c r="A81" s="20" t="s">
        <v>447</v>
      </c>
      <c r="B81" s="9" t="s">
        <v>448</v>
      </c>
      <c r="C81" s="9" t="s">
        <v>449</v>
      </c>
      <c r="D81" s="20" t="s">
        <v>52</v>
      </c>
      <c r="E81" s="20" t="s">
        <v>53</v>
      </c>
      <c r="F81" s="21" t="n">
        <v>2100000</v>
      </c>
      <c r="G81" s="20" t="s">
        <v>71</v>
      </c>
      <c r="H81" s="17" t="s">
        <v>23</v>
      </c>
      <c r="I81" s="17" t="s">
        <v>24</v>
      </c>
      <c r="J81" s="9" t="s">
        <v>36</v>
      </c>
      <c r="K81" s="23" t="n">
        <v>99.99</v>
      </c>
      <c r="L81" s="20" t="s">
        <v>45</v>
      </c>
      <c r="M81" s="20" t="s">
        <v>26</v>
      </c>
      <c r="N81" s="20" t="s">
        <v>26</v>
      </c>
      <c r="O81" s="9" t="s">
        <v>46</v>
      </c>
      <c r="P81" s="9" t="s">
        <v>77</v>
      </c>
      <c r="Q81" s="9" t="s">
        <v>450</v>
      </c>
    </row>
    <row r="82" customFormat="false" ht="15" hidden="false" customHeight="false" outlineLevel="0" collapsed="false">
      <c r="A82" s="15" t="s">
        <v>451</v>
      </c>
      <c r="B82" s="4" t="s">
        <v>452</v>
      </c>
      <c r="C82" s="4" t="s">
        <v>453</v>
      </c>
      <c r="D82" s="15" t="s">
        <v>101</v>
      </c>
      <c r="E82" s="15" t="s">
        <v>166</v>
      </c>
      <c r="F82" s="16" t="n">
        <v>2800000</v>
      </c>
      <c r="G82" s="15" t="s">
        <v>71</v>
      </c>
      <c r="H82" s="22" t="s">
        <v>131</v>
      </c>
      <c r="I82" s="18" t="s">
        <v>54</v>
      </c>
      <c r="J82" s="4" t="s">
        <v>44</v>
      </c>
      <c r="K82" s="19" t="n">
        <v>98</v>
      </c>
      <c r="L82" s="15" t="s">
        <v>26</v>
      </c>
      <c r="M82" s="15" t="s">
        <v>26</v>
      </c>
      <c r="N82" s="15" t="s">
        <v>45</v>
      </c>
      <c r="O82" s="4" t="s">
        <v>46</v>
      </c>
      <c r="P82" s="4" t="s">
        <v>155</v>
      </c>
      <c r="Q82" s="4" t="s">
        <v>454</v>
      </c>
    </row>
    <row r="83" customFormat="false" ht="15" hidden="false" customHeight="false" outlineLevel="0" collapsed="false">
      <c r="A83" s="20" t="s">
        <v>455</v>
      </c>
      <c r="B83" s="9" t="s">
        <v>456</v>
      </c>
      <c r="C83" s="9" t="s">
        <v>457</v>
      </c>
      <c r="D83" s="20" t="s">
        <v>33</v>
      </c>
      <c r="E83" s="20" t="s">
        <v>172</v>
      </c>
      <c r="F83" s="21" t="n">
        <v>100000</v>
      </c>
      <c r="G83" s="20" t="s">
        <v>35</v>
      </c>
      <c r="H83" s="18" t="s">
        <v>63</v>
      </c>
      <c r="I83" s="17" t="s">
        <v>24</v>
      </c>
      <c r="J83" s="9" t="s">
        <v>44</v>
      </c>
      <c r="K83" s="23" t="n">
        <v>99.5</v>
      </c>
      <c r="L83" s="20" t="s">
        <v>26</v>
      </c>
      <c r="M83" s="20" t="s">
        <v>26</v>
      </c>
      <c r="N83" s="20" t="s">
        <v>26</v>
      </c>
      <c r="O83" s="9" t="s">
        <v>46</v>
      </c>
      <c r="P83" s="9" t="s">
        <v>413</v>
      </c>
      <c r="Q83" s="9" t="s">
        <v>458</v>
      </c>
    </row>
    <row r="84" customFormat="false" ht="15" hidden="false" customHeight="false" outlineLevel="0" collapsed="false">
      <c r="A84" s="15" t="s">
        <v>459</v>
      </c>
      <c r="B84" s="4" t="s">
        <v>460</v>
      </c>
      <c r="C84" s="4" t="s">
        <v>461</v>
      </c>
      <c r="D84" s="15" t="s">
        <v>33</v>
      </c>
      <c r="E84" s="15" t="s">
        <v>172</v>
      </c>
      <c r="F84" s="16" t="n">
        <v>2600000</v>
      </c>
      <c r="G84" s="15" t="s">
        <v>71</v>
      </c>
      <c r="H84" s="17" t="s">
        <v>23</v>
      </c>
      <c r="I84" s="17" t="s">
        <v>24</v>
      </c>
      <c r="J84" s="4" t="s">
        <v>44</v>
      </c>
      <c r="K84" s="19" t="n">
        <v>98</v>
      </c>
      <c r="L84" s="15" t="s">
        <v>26</v>
      </c>
      <c r="M84" s="15" t="s">
        <v>45</v>
      </c>
      <c r="N84" s="15" t="s">
        <v>26</v>
      </c>
      <c r="O84" s="4" t="s">
        <v>27</v>
      </c>
      <c r="P84" s="4" t="s">
        <v>195</v>
      </c>
      <c r="Q84" s="4" t="s">
        <v>462</v>
      </c>
    </row>
    <row r="85" customFormat="false" ht="15" hidden="false" customHeight="false" outlineLevel="0" collapsed="false">
      <c r="A85" s="20" t="s">
        <v>463</v>
      </c>
      <c r="B85" s="9" t="s">
        <v>464</v>
      </c>
      <c r="C85" s="9" t="s">
        <v>465</v>
      </c>
      <c r="D85" s="20" t="s">
        <v>340</v>
      </c>
      <c r="E85" s="20" t="s">
        <v>341</v>
      </c>
      <c r="F85" s="21" t="n">
        <v>1250000</v>
      </c>
      <c r="G85" s="20" t="s">
        <v>71</v>
      </c>
      <c r="H85" s="24" t="s">
        <v>123</v>
      </c>
      <c r="I85" s="18" t="s">
        <v>54</v>
      </c>
      <c r="J85" s="9" t="s">
        <v>44</v>
      </c>
      <c r="K85" s="23" t="n">
        <v>99.5</v>
      </c>
      <c r="L85" s="20" t="s">
        <v>45</v>
      </c>
      <c r="M85" s="20" t="s">
        <v>26</v>
      </c>
      <c r="N85" s="20" t="s">
        <v>26</v>
      </c>
      <c r="O85" s="9" t="s">
        <v>27</v>
      </c>
      <c r="P85" s="9" t="s">
        <v>28</v>
      </c>
      <c r="Q85" s="9" t="s">
        <v>466</v>
      </c>
    </row>
    <row r="86" customFormat="false" ht="15" hidden="false" customHeight="false" outlineLevel="0" collapsed="false">
      <c r="A86" s="15" t="s">
        <v>467</v>
      </c>
      <c r="B86" s="4" t="s">
        <v>468</v>
      </c>
      <c r="C86" s="4" t="s">
        <v>469</v>
      </c>
      <c r="D86" s="15" t="s">
        <v>69</v>
      </c>
      <c r="E86" s="15" t="s">
        <v>286</v>
      </c>
      <c r="F86" s="16" t="n">
        <v>2300000</v>
      </c>
      <c r="G86" s="15" t="s">
        <v>71</v>
      </c>
      <c r="H86" s="17" t="s">
        <v>23</v>
      </c>
      <c r="I86" s="18" t="s">
        <v>54</v>
      </c>
      <c r="J86" s="4" t="s">
        <v>36</v>
      </c>
      <c r="K86" s="19" t="n">
        <v>99</v>
      </c>
      <c r="L86" s="15" t="s">
        <v>26</v>
      </c>
      <c r="M86" s="15" t="s">
        <v>45</v>
      </c>
      <c r="N86" s="15" t="s">
        <v>45</v>
      </c>
      <c r="O86" s="4" t="s">
        <v>173</v>
      </c>
      <c r="P86" s="4" t="s">
        <v>96</v>
      </c>
      <c r="Q86" s="4" t="s">
        <v>470</v>
      </c>
    </row>
    <row r="87" customFormat="false" ht="15" hidden="false" customHeight="false" outlineLevel="0" collapsed="false">
      <c r="A87" s="20" t="s">
        <v>471</v>
      </c>
      <c r="B87" s="9" t="s">
        <v>472</v>
      </c>
      <c r="C87" s="9" t="s">
        <v>473</v>
      </c>
      <c r="D87" s="20" t="s">
        <v>101</v>
      </c>
      <c r="E87" s="20" t="s">
        <v>166</v>
      </c>
      <c r="F87" s="21" t="n">
        <v>350000</v>
      </c>
      <c r="G87" s="20" t="s">
        <v>71</v>
      </c>
      <c r="H87" s="17" t="s">
        <v>23</v>
      </c>
      <c r="I87" s="18" t="s">
        <v>54</v>
      </c>
      <c r="J87" s="9" t="s">
        <v>36</v>
      </c>
      <c r="K87" s="23" t="n">
        <v>99.9</v>
      </c>
      <c r="L87" s="20" t="s">
        <v>26</v>
      </c>
      <c r="M87" s="20" t="s">
        <v>45</v>
      </c>
      <c r="N87" s="20" t="s">
        <v>26</v>
      </c>
      <c r="O87" s="9" t="s">
        <v>173</v>
      </c>
      <c r="P87" s="9" t="s">
        <v>72</v>
      </c>
      <c r="Q87" s="9" t="s">
        <v>474</v>
      </c>
    </row>
    <row r="88" customFormat="false" ht="15" hidden="false" customHeight="false" outlineLevel="0" collapsed="false">
      <c r="A88" s="15" t="s">
        <v>475</v>
      </c>
      <c r="B88" s="4" t="s">
        <v>476</v>
      </c>
      <c r="C88" s="4" t="s">
        <v>477</v>
      </c>
      <c r="D88" s="15" t="s">
        <v>108</v>
      </c>
      <c r="E88" s="15" t="s">
        <v>109</v>
      </c>
      <c r="F88" s="16" t="n">
        <v>600000</v>
      </c>
      <c r="G88" s="15" t="s">
        <v>22</v>
      </c>
      <c r="H88" s="17" t="s">
        <v>23</v>
      </c>
      <c r="I88" s="18" t="s">
        <v>54</v>
      </c>
      <c r="J88" s="4" t="s">
        <v>55</v>
      </c>
      <c r="K88" s="19" t="n">
        <v>99.9</v>
      </c>
      <c r="L88" s="15" t="s">
        <v>26</v>
      </c>
      <c r="M88" s="15" t="s">
        <v>26</v>
      </c>
      <c r="N88" s="15" t="s">
        <v>26</v>
      </c>
      <c r="O88" s="4" t="s">
        <v>27</v>
      </c>
      <c r="P88" s="4" t="s">
        <v>313</v>
      </c>
      <c r="Q88" s="4" t="s">
        <v>478</v>
      </c>
    </row>
    <row r="89" customFormat="false" ht="15" hidden="false" customHeight="false" outlineLevel="0" collapsed="false">
      <c r="A89" s="20" t="s">
        <v>479</v>
      </c>
      <c r="B89" s="9" t="s">
        <v>480</v>
      </c>
      <c r="C89" s="9" t="s">
        <v>481</v>
      </c>
      <c r="D89" s="20" t="s">
        <v>292</v>
      </c>
      <c r="E89" s="20" t="s">
        <v>293</v>
      </c>
      <c r="F89" s="21" t="n">
        <v>1100000</v>
      </c>
      <c r="G89" s="20" t="s">
        <v>22</v>
      </c>
      <c r="H89" s="18" t="s">
        <v>63</v>
      </c>
      <c r="I89" s="17" t="s">
        <v>24</v>
      </c>
      <c r="J89" s="9" t="s">
        <v>36</v>
      </c>
      <c r="K89" s="23" t="n">
        <v>99.9</v>
      </c>
      <c r="L89" s="20" t="s">
        <v>26</v>
      </c>
      <c r="M89" s="20" t="s">
        <v>45</v>
      </c>
      <c r="N89" s="20" t="s">
        <v>26</v>
      </c>
      <c r="O89" s="9" t="s">
        <v>46</v>
      </c>
      <c r="P89" s="9" t="s">
        <v>342</v>
      </c>
      <c r="Q89" s="9" t="s">
        <v>482</v>
      </c>
    </row>
    <row r="90" customFormat="false" ht="15" hidden="false" customHeight="false" outlineLevel="0" collapsed="false">
      <c r="A90" s="15" t="s">
        <v>483</v>
      </c>
      <c r="B90" s="4" t="s">
        <v>484</v>
      </c>
      <c r="C90" s="4" t="s">
        <v>485</v>
      </c>
      <c r="D90" s="15" t="s">
        <v>292</v>
      </c>
      <c r="E90" s="15" t="s">
        <v>293</v>
      </c>
      <c r="F90" s="16" t="n">
        <v>2300000</v>
      </c>
      <c r="G90" s="15" t="s">
        <v>71</v>
      </c>
      <c r="H90" s="17" t="s">
        <v>23</v>
      </c>
      <c r="I90" s="22" t="s">
        <v>115</v>
      </c>
      <c r="J90" s="4" t="s">
        <v>55</v>
      </c>
      <c r="K90" s="19" t="n">
        <v>98</v>
      </c>
      <c r="L90" s="15" t="s">
        <v>26</v>
      </c>
      <c r="M90" s="15" t="s">
        <v>45</v>
      </c>
      <c r="N90" s="15" t="s">
        <v>26</v>
      </c>
      <c r="O90" s="4" t="s">
        <v>173</v>
      </c>
      <c r="P90" s="4" t="s">
        <v>72</v>
      </c>
      <c r="Q90" s="4" t="s">
        <v>486</v>
      </c>
    </row>
    <row r="91" customFormat="false" ht="15" hidden="false" customHeight="false" outlineLevel="0" collapsed="false">
      <c r="A91" s="20" t="s">
        <v>487</v>
      </c>
      <c r="B91" s="9" t="s">
        <v>488</v>
      </c>
      <c r="C91" s="9" t="s">
        <v>489</v>
      </c>
      <c r="D91" s="20" t="s">
        <v>121</v>
      </c>
      <c r="E91" s="20" t="s">
        <v>122</v>
      </c>
      <c r="F91" s="21" t="n">
        <v>850000</v>
      </c>
      <c r="G91" s="20" t="s">
        <v>22</v>
      </c>
      <c r="H91" s="17" t="s">
        <v>23</v>
      </c>
      <c r="I91" s="17" t="s">
        <v>24</v>
      </c>
      <c r="J91" s="9" t="s">
        <v>347</v>
      </c>
      <c r="K91" s="23" t="n">
        <v>98.5</v>
      </c>
      <c r="L91" s="20" t="s">
        <v>45</v>
      </c>
      <c r="M91" s="20" t="s">
        <v>45</v>
      </c>
      <c r="N91" s="20" t="s">
        <v>26</v>
      </c>
      <c r="O91" s="9" t="s">
        <v>173</v>
      </c>
      <c r="P91" s="9" t="s">
        <v>132</v>
      </c>
      <c r="Q91" s="9" t="s">
        <v>490</v>
      </c>
    </row>
    <row r="92" customFormat="false" ht="15" hidden="false" customHeight="false" outlineLevel="0" collapsed="false">
      <c r="A92" s="15" t="s">
        <v>491</v>
      </c>
      <c r="B92" s="4" t="s">
        <v>492</v>
      </c>
      <c r="C92" s="4" t="s">
        <v>493</v>
      </c>
      <c r="D92" s="15" t="s">
        <v>69</v>
      </c>
      <c r="E92" s="15" t="s">
        <v>286</v>
      </c>
      <c r="F92" s="16" t="n">
        <v>1800000</v>
      </c>
      <c r="G92" s="15" t="s">
        <v>22</v>
      </c>
      <c r="H92" s="17" t="s">
        <v>23</v>
      </c>
      <c r="I92" s="18" t="s">
        <v>54</v>
      </c>
      <c r="J92" s="4" t="s">
        <v>55</v>
      </c>
      <c r="K92" s="19" t="n">
        <v>98</v>
      </c>
      <c r="L92" s="15" t="s">
        <v>26</v>
      </c>
      <c r="M92" s="15" t="s">
        <v>45</v>
      </c>
      <c r="N92" s="15" t="s">
        <v>45</v>
      </c>
      <c r="O92" s="4" t="s">
        <v>27</v>
      </c>
      <c r="P92" s="4" t="s">
        <v>195</v>
      </c>
      <c r="Q92" s="4" t="s">
        <v>494</v>
      </c>
    </row>
    <row r="93" customFormat="false" ht="15" hidden="false" customHeight="false" outlineLevel="0" collapsed="false">
      <c r="A93" s="20" t="s">
        <v>495</v>
      </c>
      <c r="B93" s="9" t="s">
        <v>496</v>
      </c>
      <c r="C93" s="9" t="s">
        <v>199</v>
      </c>
      <c r="D93" s="20" t="s">
        <v>121</v>
      </c>
      <c r="E93" s="20" t="s">
        <v>122</v>
      </c>
      <c r="F93" s="21" t="n">
        <v>100000</v>
      </c>
      <c r="G93" s="20" t="s">
        <v>22</v>
      </c>
      <c r="H93" s="24" t="s">
        <v>123</v>
      </c>
      <c r="I93" s="17" t="s">
        <v>24</v>
      </c>
      <c r="J93" s="9" t="s">
        <v>44</v>
      </c>
      <c r="K93" s="23" t="n">
        <v>97</v>
      </c>
      <c r="L93" s="20" t="s">
        <v>26</v>
      </c>
      <c r="M93" s="20" t="s">
        <v>26</v>
      </c>
      <c r="N93" s="20" t="s">
        <v>45</v>
      </c>
      <c r="O93" s="9" t="s">
        <v>173</v>
      </c>
      <c r="P93" s="9" t="s">
        <v>37</v>
      </c>
      <c r="Q93" s="9" t="s">
        <v>497</v>
      </c>
    </row>
    <row r="94" customFormat="false" ht="15" hidden="false" customHeight="false" outlineLevel="0" collapsed="false">
      <c r="A94" s="15" t="s">
        <v>498</v>
      </c>
      <c r="B94" s="4" t="s">
        <v>499</v>
      </c>
      <c r="C94" s="4" t="s">
        <v>500</v>
      </c>
      <c r="D94" s="15" t="s">
        <v>108</v>
      </c>
      <c r="E94" s="15" t="s">
        <v>109</v>
      </c>
      <c r="F94" s="16" t="n">
        <v>50000</v>
      </c>
      <c r="G94" s="15" t="s">
        <v>35</v>
      </c>
      <c r="H94" s="22" t="s">
        <v>131</v>
      </c>
      <c r="I94" s="18" t="s">
        <v>54</v>
      </c>
      <c r="J94" s="4" t="s">
        <v>44</v>
      </c>
      <c r="K94" s="19" t="n">
        <v>99.99</v>
      </c>
      <c r="L94" s="15" t="s">
        <v>26</v>
      </c>
      <c r="M94" s="15" t="s">
        <v>26</v>
      </c>
      <c r="N94" s="15" t="s">
        <v>45</v>
      </c>
      <c r="O94" s="4" t="s">
        <v>173</v>
      </c>
      <c r="P94" s="4" t="s">
        <v>64</v>
      </c>
      <c r="Q94" s="4" t="s">
        <v>501</v>
      </c>
    </row>
    <row r="95" customFormat="false" ht="15" hidden="false" customHeight="false" outlineLevel="0" collapsed="false">
      <c r="A95" s="20" t="s">
        <v>502</v>
      </c>
      <c r="B95" s="9" t="s">
        <v>503</v>
      </c>
      <c r="C95" s="9" t="s">
        <v>504</v>
      </c>
      <c r="D95" s="20" t="s">
        <v>108</v>
      </c>
      <c r="E95" s="20" t="s">
        <v>109</v>
      </c>
      <c r="F95" s="21" t="n">
        <v>1700000</v>
      </c>
      <c r="G95" s="20" t="s">
        <v>22</v>
      </c>
      <c r="H95" s="22" t="s">
        <v>131</v>
      </c>
      <c r="I95" s="17" t="s">
        <v>24</v>
      </c>
      <c r="J95" s="9" t="s">
        <v>36</v>
      </c>
      <c r="K95" s="23" t="n">
        <v>99.5</v>
      </c>
      <c r="L95" s="20" t="s">
        <v>26</v>
      </c>
      <c r="M95" s="20" t="s">
        <v>45</v>
      </c>
      <c r="N95" s="20" t="s">
        <v>26</v>
      </c>
      <c r="O95" s="9" t="s">
        <v>173</v>
      </c>
      <c r="P95" s="9" t="s">
        <v>212</v>
      </c>
      <c r="Q95" s="9" t="s">
        <v>505</v>
      </c>
    </row>
    <row r="96" customFormat="false" ht="15" hidden="false" customHeight="false" outlineLevel="0" collapsed="false">
      <c r="A96" s="15" t="s">
        <v>506</v>
      </c>
      <c r="B96" s="4" t="s">
        <v>507</v>
      </c>
      <c r="C96" s="4" t="s">
        <v>508</v>
      </c>
      <c r="D96" s="15" t="s">
        <v>33</v>
      </c>
      <c r="E96" s="15" t="s">
        <v>172</v>
      </c>
      <c r="F96" s="16" t="n">
        <v>100000</v>
      </c>
      <c r="G96" s="15" t="s">
        <v>22</v>
      </c>
      <c r="H96" s="17" t="s">
        <v>23</v>
      </c>
      <c r="I96" s="22" t="s">
        <v>115</v>
      </c>
      <c r="J96" s="4" t="s">
        <v>25</v>
      </c>
      <c r="K96" s="19" t="n">
        <v>99.8</v>
      </c>
      <c r="L96" s="15" t="s">
        <v>26</v>
      </c>
      <c r="M96" s="15" t="s">
        <v>45</v>
      </c>
      <c r="N96" s="15" t="s">
        <v>26</v>
      </c>
      <c r="O96" s="4" t="s">
        <v>27</v>
      </c>
      <c r="P96" s="4" t="s">
        <v>72</v>
      </c>
      <c r="Q96" s="4" t="s">
        <v>509</v>
      </c>
    </row>
    <row r="97" customFormat="false" ht="15" hidden="false" customHeight="false" outlineLevel="0" collapsed="false">
      <c r="A97" s="20" t="s">
        <v>510</v>
      </c>
      <c r="B97" s="9" t="s">
        <v>511</v>
      </c>
      <c r="C97" s="9" t="s">
        <v>512</v>
      </c>
      <c r="D97" s="20" t="s">
        <v>292</v>
      </c>
      <c r="E97" s="20" t="s">
        <v>293</v>
      </c>
      <c r="F97" s="21" t="n">
        <v>750000</v>
      </c>
      <c r="G97" s="20" t="s">
        <v>22</v>
      </c>
      <c r="H97" s="17" t="s">
        <v>23</v>
      </c>
      <c r="I97" s="17" t="s">
        <v>24</v>
      </c>
      <c r="J97" s="9" t="s">
        <v>55</v>
      </c>
      <c r="K97" s="23" t="n">
        <v>99.8</v>
      </c>
      <c r="L97" s="20" t="s">
        <v>45</v>
      </c>
      <c r="M97" s="20" t="s">
        <v>45</v>
      </c>
      <c r="N97" s="20" t="s">
        <v>26</v>
      </c>
      <c r="O97" s="9" t="s">
        <v>27</v>
      </c>
      <c r="P97" s="9" t="s">
        <v>28</v>
      </c>
      <c r="Q97" s="9" t="s">
        <v>513</v>
      </c>
    </row>
    <row r="98" customFormat="false" ht="15" hidden="false" customHeight="false" outlineLevel="0" collapsed="false">
      <c r="A98" s="15" t="s">
        <v>514</v>
      </c>
      <c r="B98" s="4" t="s">
        <v>515</v>
      </c>
      <c r="C98" s="4" t="s">
        <v>516</v>
      </c>
      <c r="D98" s="15" t="s">
        <v>20</v>
      </c>
      <c r="E98" s="15" t="s">
        <v>43</v>
      </c>
      <c r="F98" s="16" t="n">
        <v>1600000</v>
      </c>
      <c r="G98" s="15" t="s">
        <v>35</v>
      </c>
      <c r="H98" s="17" t="s">
        <v>23</v>
      </c>
      <c r="I98" s="18" t="s">
        <v>54</v>
      </c>
      <c r="J98" s="4" t="s">
        <v>25</v>
      </c>
      <c r="K98" s="19" t="n">
        <v>99.9</v>
      </c>
      <c r="L98" s="15" t="s">
        <v>45</v>
      </c>
      <c r="M98" s="15" t="s">
        <v>45</v>
      </c>
      <c r="N98" s="15" t="s">
        <v>45</v>
      </c>
      <c r="O98" s="4" t="s">
        <v>46</v>
      </c>
      <c r="P98" s="4" t="s">
        <v>212</v>
      </c>
      <c r="Q98" s="4" t="s">
        <v>517</v>
      </c>
    </row>
    <row r="99" customFormat="false" ht="15" hidden="false" customHeight="false" outlineLevel="0" collapsed="false">
      <c r="A99" s="20" t="s">
        <v>518</v>
      </c>
      <c r="B99" s="9" t="s">
        <v>519</v>
      </c>
      <c r="C99" s="9" t="s">
        <v>520</v>
      </c>
      <c r="D99" s="20" t="s">
        <v>352</v>
      </c>
      <c r="E99" s="20" t="s">
        <v>353</v>
      </c>
      <c r="F99" s="21" t="n">
        <v>3000000</v>
      </c>
      <c r="G99" s="20" t="s">
        <v>35</v>
      </c>
      <c r="H99" s="17" t="s">
        <v>23</v>
      </c>
      <c r="I99" s="22" t="s">
        <v>115</v>
      </c>
      <c r="J99" s="9" t="s">
        <v>44</v>
      </c>
      <c r="K99" s="23" t="n">
        <v>97</v>
      </c>
      <c r="L99" s="20" t="s">
        <v>26</v>
      </c>
      <c r="M99" s="20" t="s">
        <v>45</v>
      </c>
      <c r="N99" s="20" t="s">
        <v>45</v>
      </c>
      <c r="O99" s="9" t="s">
        <v>27</v>
      </c>
      <c r="P99" s="9" t="s">
        <v>77</v>
      </c>
      <c r="Q99" s="9" t="s">
        <v>521</v>
      </c>
    </row>
    <row r="100" customFormat="false" ht="15" hidden="false" customHeight="false" outlineLevel="0" collapsed="false">
      <c r="A100" s="15" t="s">
        <v>522</v>
      </c>
      <c r="B100" s="4" t="s">
        <v>523</v>
      </c>
      <c r="C100" s="4" t="s">
        <v>524</v>
      </c>
      <c r="D100" s="15" t="s">
        <v>292</v>
      </c>
      <c r="E100" s="15" t="s">
        <v>293</v>
      </c>
      <c r="F100" s="16" t="n">
        <v>700000</v>
      </c>
      <c r="G100" s="15" t="s">
        <v>35</v>
      </c>
      <c r="H100" s="18" t="s">
        <v>63</v>
      </c>
      <c r="I100" s="22" t="s">
        <v>115</v>
      </c>
      <c r="J100" s="4" t="s">
        <v>25</v>
      </c>
      <c r="K100" s="19" t="n">
        <v>99.95</v>
      </c>
      <c r="L100" s="15" t="s">
        <v>45</v>
      </c>
      <c r="M100" s="15" t="s">
        <v>45</v>
      </c>
      <c r="N100" s="15" t="s">
        <v>26</v>
      </c>
      <c r="O100" s="4" t="s">
        <v>27</v>
      </c>
      <c r="P100" s="4" t="s">
        <v>155</v>
      </c>
      <c r="Q100" s="4" t="s">
        <v>525</v>
      </c>
    </row>
    <row r="101" customFormat="false" ht="15" hidden="false" customHeight="false" outlineLevel="0" collapsed="false">
      <c r="A101" s="20" t="s">
        <v>526</v>
      </c>
      <c r="B101" s="9" t="s">
        <v>527</v>
      </c>
      <c r="C101" s="9" t="s">
        <v>528</v>
      </c>
      <c r="D101" s="20" t="s">
        <v>340</v>
      </c>
      <c r="E101" s="20" t="s">
        <v>341</v>
      </c>
      <c r="F101" s="21" t="n">
        <v>950000</v>
      </c>
      <c r="G101" s="20" t="s">
        <v>71</v>
      </c>
      <c r="H101" s="22" t="s">
        <v>131</v>
      </c>
      <c r="I101" s="17" t="s">
        <v>24</v>
      </c>
      <c r="J101" s="9" t="s">
        <v>36</v>
      </c>
      <c r="K101" s="23" t="n">
        <v>99.95</v>
      </c>
      <c r="L101" s="20" t="s">
        <v>45</v>
      </c>
      <c r="M101" s="20" t="s">
        <v>45</v>
      </c>
      <c r="N101" s="20" t="s">
        <v>45</v>
      </c>
      <c r="O101" s="9" t="s">
        <v>46</v>
      </c>
      <c r="P101" s="9" t="s">
        <v>342</v>
      </c>
      <c r="Q101" s="9" t="s">
        <v>529</v>
      </c>
    </row>
    <row r="102" customFormat="false" ht="15" hidden="false" customHeight="false" outlineLevel="0" collapsed="false">
      <c r="A102" s="15" t="s">
        <v>530</v>
      </c>
      <c r="B102" s="4" t="s">
        <v>531</v>
      </c>
      <c r="C102" s="4" t="s">
        <v>532</v>
      </c>
      <c r="D102" s="15" t="s">
        <v>352</v>
      </c>
      <c r="E102" s="15" t="s">
        <v>353</v>
      </c>
      <c r="F102" s="16" t="n">
        <v>2950000</v>
      </c>
      <c r="G102" s="15" t="s">
        <v>71</v>
      </c>
      <c r="H102" s="24" t="s">
        <v>123</v>
      </c>
      <c r="I102" s="22" t="s">
        <v>115</v>
      </c>
      <c r="J102" s="4" t="s">
        <v>55</v>
      </c>
      <c r="K102" s="19" t="n">
        <v>99.5</v>
      </c>
      <c r="L102" s="15" t="s">
        <v>26</v>
      </c>
      <c r="M102" s="15" t="s">
        <v>26</v>
      </c>
      <c r="N102" s="15" t="s">
        <v>26</v>
      </c>
      <c r="O102" s="4" t="s">
        <v>27</v>
      </c>
      <c r="P102" s="4" t="s">
        <v>155</v>
      </c>
      <c r="Q102" s="4" t="s">
        <v>533</v>
      </c>
    </row>
    <row r="103" customFormat="false" ht="15" hidden="false" customHeight="false" outlineLevel="0" collapsed="false">
      <c r="A103" s="20" t="s">
        <v>534</v>
      </c>
      <c r="B103" s="9" t="s">
        <v>535</v>
      </c>
      <c r="C103" s="9" t="s">
        <v>536</v>
      </c>
      <c r="D103" s="20" t="s">
        <v>101</v>
      </c>
      <c r="E103" s="20" t="s">
        <v>166</v>
      </c>
      <c r="F103" s="21" t="n">
        <v>300000</v>
      </c>
      <c r="G103" s="20" t="s">
        <v>22</v>
      </c>
      <c r="H103" s="17" t="s">
        <v>23</v>
      </c>
      <c r="I103" s="18" t="s">
        <v>54</v>
      </c>
      <c r="J103" s="9" t="s">
        <v>55</v>
      </c>
      <c r="K103" s="23" t="n">
        <v>97</v>
      </c>
      <c r="L103" s="20" t="s">
        <v>26</v>
      </c>
      <c r="M103" s="20" t="s">
        <v>45</v>
      </c>
      <c r="N103" s="20" t="s">
        <v>26</v>
      </c>
      <c r="O103" s="9" t="s">
        <v>27</v>
      </c>
      <c r="P103" s="9" t="s">
        <v>72</v>
      </c>
      <c r="Q103" s="9" t="s">
        <v>537</v>
      </c>
    </row>
    <row r="104" customFormat="false" ht="15" hidden="false" customHeight="false" outlineLevel="0" collapsed="false">
      <c r="A104" s="15" t="s">
        <v>538</v>
      </c>
      <c r="B104" s="4" t="s">
        <v>539</v>
      </c>
      <c r="C104" s="4" t="s">
        <v>540</v>
      </c>
      <c r="D104" s="15" t="s">
        <v>121</v>
      </c>
      <c r="E104" s="15" t="s">
        <v>122</v>
      </c>
      <c r="F104" s="16" t="n">
        <v>1900000</v>
      </c>
      <c r="G104" s="15" t="s">
        <v>22</v>
      </c>
      <c r="H104" s="22" t="s">
        <v>131</v>
      </c>
      <c r="I104" s="18" t="s">
        <v>54</v>
      </c>
      <c r="J104" s="4" t="s">
        <v>25</v>
      </c>
      <c r="K104" s="19" t="n">
        <v>97</v>
      </c>
      <c r="L104" s="15" t="s">
        <v>26</v>
      </c>
      <c r="M104" s="15" t="s">
        <v>26</v>
      </c>
      <c r="N104" s="15" t="s">
        <v>45</v>
      </c>
      <c r="O104" s="4" t="s">
        <v>173</v>
      </c>
      <c r="P104" s="4" t="s">
        <v>96</v>
      </c>
      <c r="Q104" s="4" t="s">
        <v>541</v>
      </c>
    </row>
    <row r="105" customFormat="false" ht="15" hidden="false" customHeight="false" outlineLevel="0" collapsed="false">
      <c r="A105" s="20" t="s">
        <v>542</v>
      </c>
      <c r="B105" s="9" t="s">
        <v>543</v>
      </c>
      <c r="C105" s="9" t="s">
        <v>544</v>
      </c>
      <c r="D105" s="20" t="s">
        <v>108</v>
      </c>
      <c r="E105" s="20" t="s">
        <v>109</v>
      </c>
      <c r="F105" s="21" t="n">
        <v>600000</v>
      </c>
      <c r="G105" s="20" t="s">
        <v>35</v>
      </c>
      <c r="H105" s="24" t="s">
        <v>123</v>
      </c>
      <c r="I105" s="18" t="s">
        <v>54</v>
      </c>
      <c r="J105" s="9" t="s">
        <v>25</v>
      </c>
      <c r="K105" s="23" t="n">
        <v>98.5</v>
      </c>
      <c r="L105" s="20" t="s">
        <v>45</v>
      </c>
      <c r="M105" s="20" t="s">
        <v>45</v>
      </c>
      <c r="N105" s="20" t="s">
        <v>26</v>
      </c>
      <c r="O105" s="9" t="s">
        <v>27</v>
      </c>
      <c r="P105" s="9" t="s">
        <v>323</v>
      </c>
      <c r="Q105" s="9" t="s">
        <v>545</v>
      </c>
    </row>
    <row r="106" customFormat="false" ht="15" hidden="false" customHeight="false" outlineLevel="0" collapsed="false">
      <c r="A106" s="15" t="s">
        <v>546</v>
      </c>
      <c r="B106" s="4" t="s">
        <v>547</v>
      </c>
      <c r="C106" s="4" t="s">
        <v>548</v>
      </c>
      <c r="D106" s="15" t="s">
        <v>33</v>
      </c>
      <c r="E106" s="15" t="s">
        <v>172</v>
      </c>
      <c r="F106" s="16" t="n">
        <v>1250000</v>
      </c>
      <c r="G106" s="15" t="s">
        <v>71</v>
      </c>
      <c r="H106" s="24" t="s">
        <v>123</v>
      </c>
      <c r="I106" s="17" t="s">
        <v>24</v>
      </c>
      <c r="J106" s="4" t="s">
        <v>44</v>
      </c>
      <c r="K106" s="19" t="n">
        <v>98</v>
      </c>
      <c r="L106" s="15" t="s">
        <v>26</v>
      </c>
      <c r="M106" s="15" t="s">
        <v>45</v>
      </c>
      <c r="N106" s="15" t="s">
        <v>45</v>
      </c>
      <c r="O106" s="4" t="s">
        <v>46</v>
      </c>
      <c r="P106" s="4" t="s">
        <v>64</v>
      </c>
      <c r="Q106" s="4" t="s">
        <v>549</v>
      </c>
    </row>
    <row r="107" customFormat="false" ht="15" hidden="false" customHeight="false" outlineLevel="0" collapsed="false">
      <c r="A107" s="20" t="s">
        <v>550</v>
      </c>
      <c r="B107" s="9" t="s">
        <v>551</v>
      </c>
      <c r="C107" s="9" t="s">
        <v>552</v>
      </c>
      <c r="D107" s="20" t="s">
        <v>101</v>
      </c>
      <c r="E107" s="20" t="s">
        <v>166</v>
      </c>
      <c r="F107" s="21" t="n">
        <v>2700000</v>
      </c>
      <c r="G107" s="20" t="s">
        <v>35</v>
      </c>
      <c r="H107" s="17" t="s">
        <v>23</v>
      </c>
      <c r="I107" s="17" t="s">
        <v>24</v>
      </c>
      <c r="J107" s="9" t="s">
        <v>347</v>
      </c>
      <c r="K107" s="23" t="n">
        <v>98</v>
      </c>
      <c r="L107" s="20" t="s">
        <v>26</v>
      </c>
      <c r="M107" s="20" t="s">
        <v>45</v>
      </c>
      <c r="N107" s="20" t="s">
        <v>45</v>
      </c>
      <c r="O107" s="9" t="s">
        <v>173</v>
      </c>
      <c r="P107" s="9" t="s">
        <v>179</v>
      </c>
      <c r="Q107" s="9" t="s">
        <v>553</v>
      </c>
    </row>
    <row r="108" customFormat="false" ht="15" hidden="false" customHeight="false" outlineLevel="0" collapsed="false">
      <c r="A108" s="15" t="s">
        <v>554</v>
      </c>
      <c r="B108" s="4" t="s">
        <v>555</v>
      </c>
      <c r="C108" s="4" t="s">
        <v>556</v>
      </c>
      <c r="D108" s="15" t="s">
        <v>69</v>
      </c>
      <c r="E108" s="15" t="s">
        <v>286</v>
      </c>
      <c r="F108" s="16" t="n">
        <v>1000000</v>
      </c>
      <c r="G108" s="15" t="s">
        <v>35</v>
      </c>
      <c r="H108" s="24" t="s">
        <v>123</v>
      </c>
      <c r="I108" s="17" t="s">
        <v>24</v>
      </c>
      <c r="J108" s="4" t="s">
        <v>55</v>
      </c>
      <c r="K108" s="19" t="n">
        <v>99.95</v>
      </c>
      <c r="L108" s="15" t="s">
        <v>26</v>
      </c>
      <c r="M108" s="15" t="s">
        <v>45</v>
      </c>
      <c r="N108" s="15" t="s">
        <v>45</v>
      </c>
      <c r="O108" s="4" t="s">
        <v>27</v>
      </c>
      <c r="P108" s="4" t="s">
        <v>64</v>
      </c>
      <c r="Q108" s="4" t="s">
        <v>557</v>
      </c>
    </row>
    <row r="109" customFormat="false" ht="15" hidden="false" customHeight="false" outlineLevel="0" collapsed="false">
      <c r="A109" s="20" t="s">
        <v>558</v>
      </c>
      <c r="B109" s="9" t="s">
        <v>559</v>
      </c>
      <c r="C109" s="9" t="s">
        <v>560</v>
      </c>
      <c r="D109" s="20" t="s">
        <v>20</v>
      </c>
      <c r="E109" s="20" t="s">
        <v>43</v>
      </c>
      <c r="F109" s="21" t="n">
        <v>1650000</v>
      </c>
      <c r="G109" s="20" t="s">
        <v>22</v>
      </c>
      <c r="H109" s="17" t="s">
        <v>23</v>
      </c>
      <c r="I109" s="17" t="s">
        <v>24</v>
      </c>
      <c r="J109" s="9" t="s">
        <v>25</v>
      </c>
      <c r="K109" s="23" t="n">
        <v>98.5</v>
      </c>
      <c r="L109" s="20" t="s">
        <v>45</v>
      </c>
      <c r="M109" s="20" t="s">
        <v>26</v>
      </c>
      <c r="N109" s="20" t="s">
        <v>45</v>
      </c>
      <c r="O109" s="9" t="s">
        <v>27</v>
      </c>
      <c r="P109" s="9" t="s">
        <v>342</v>
      </c>
      <c r="Q109" s="9" t="s">
        <v>561</v>
      </c>
    </row>
    <row r="110" customFormat="false" ht="15" hidden="false" customHeight="false" outlineLevel="0" collapsed="false">
      <c r="A110" s="15" t="s">
        <v>562</v>
      </c>
      <c r="B110" s="4" t="s">
        <v>563</v>
      </c>
      <c r="C110" s="4" t="s">
        <v>564</v>
      </c>
      <c r="D110" s="15" t="s">
        <v>270</v>
      </c>
      <c r="E110" s="15" t="s">
        <v>271</v>
      </c>
      <c r="F110" s="16" t="n">
        <v>1850000</v>
      </c>
      <c r="G110" s="15" t="s">
        <v>35</v>
      </c>
      <c r="H110" s="17" t="s">
        <v>23</v>
      </c>
      <c r="I110" s="22" t="s">
        <v>115</v>
      </c>
      <c r="J110" s="4" t="s">
        <v>25</v>
      </c>
      <c r="K110" s="19" t="n">
        <v>97</v>
      </c>
      <c r="L110" s="15" t="s">
        <v>26</v>
      </c>
      <c r="M110" s="15" t="s">
        <v>45</v>
      </c>
      <c r="N110" s="15" t="s">
        <v>45</v>
      </c>
      <c r="O110" s="4" t="s">
        <v>27</v>
      </c>
      <c r="P110" s="4" t="s">
        <v>56</v>
      </c>
      <c r="Q110" s="4" t="s">
        <v>565</v>
      </c>
    </row>
    <row r="111" customFormat="false" ht="15" hidden="false" customHeight="false" outlineLevel="0" collapsed="false">
      <c r="A111" s="20" t="s">
        <v>566</v>
      </c>
      <c r="B111" s="9" t="s">
        <v>567</v>
      </c>
      <c r="C111" s="9" t="s">
        <v>568</v>
      </c>
      <c r="D111" s="20" t="s">
        <v>52</v>
      </c>
      <c r="E111" s="20" t="s">
        <v>53</v>
      </c>
      <c r="F111" s="21" t="n">
        <v>350000</v>
      </c>
      <c r="G111" s="20" t="s">
        <v>22</v>
      </c>
      <c r="H111" s="17" t="s">
        <v>23</v>
      </c>
      <c r="I111" s="17" t="s">
        <v>24</v>
      </c>
      <c r="J111" s="9" t="s">
        <v>36</v>
      </c>
      <c r="K111" s="23" t="n">
        <v>98</v>
      </c>
      <c r="L111" s="20" t="s">
        <v>26</v>
      </c>
      <c r="M111" s="20" t="s">
        <v>26</v>
      </c>
      <c r="N111" s="20" t="s">
        <v>26</v>
      </c>
      <c r="O111" s="9" t="s">
        <v>173</v>
      </c>
      <c r="P111" s="9" t="s">
        <v>179</v>
      </c>
      <c r="Q111" s="9" t="s">
        <v>569</v>
      </c>
    </row>
    <row r="112" customFormat="false" ht="15" hidden="false" customHeight="false" outlineLevel="0" collapsed="false">
      <c r="A112" s="15" t="s">
        <v>570</v>
      </c>
      <c r="B112" s="4" t="s">
        <v>571</v>
      </c>
      <c r="C112" s="4" t="s">
        <v>572</v>
      </c>
      <c r="D112" s="15" t="s">
        <v>108</v>
      </c>
      <c r="E112" s="15" t="s">
        <v>109</v>
      </c>
      <c r="F112" s="16" t="n">
        <v>2300000</v>
      </c>
      <c r="G112" s="15" t="s">
        <v>22</v>
      </c>
      <c r="H112" s="22" t="s">
        <v>131</v>
      </c>
      <c r="I112" s="17" t="s">
        <v>24</v>
      </c>
      <c r="J112" s="4" t="s">
        <v>44</v>
      </c>
      <c r="K112" s="19" t="n">
        <v>99.5</v>
      </c>
      <c r="L112" s="15" t="s">
        <v>26</v>
      </c>
      <c r="M112" s="15" t="s">
        <v>45</v>
      </c>
      <c r="N112" s="15" t="s">
        <v>26</v>
      </c>
      <c r="O112" s="4" t="s">
        <v>173</v>
      </c>
      <c r="P112" s="4" t="s">
        <v>77</v>
      </c>
      <c r="Q112" s="4" t="s">
        <v>573</v>
      </c>
    </row>
    <row r="113" customFormat="false" ht="15" hidden="false" customHeight="false" outlineLevel="0" collapsed="false">
      <c r="A113" s="20" t="s">
        <v>574</v>
      </c>
      <c r="B113" s="9" t="s">
        <v>575</v>
      </c>
      <c r="C113" s="9" t="s">
        <v>576</v>
      </c>
      <c r="D113" s="20" t="s">
        <v>33</v>
      </c>
      <c r="E113" s="20" t="s">
        <v>172</v>
      </c>
      <c r="F113" s="21" t="n">
        <v>1100000</v>
      </c>
      <c r="G113" s="20" t="s">
        <v>35</v>
      </c>
      <c r="H113" s="17" t="s">
        <v>23</v>
      </c>
      <c r="I113" s="17" t="s">
        <v>24</v>
      </c>
      <c r="J113" s="9" t="s">
        <v>347</v>
      </c>
      <c r="K113" s="23" t="n">
        <v>99.99</v>
      </c>
      <c r="L113" s="20" t="s">
        <v>26</v>
      </c>
      <c r="M113" s="20" t="s">
        <v>45</v>
      </c>
      <c r="N113" s="20" t="s">
        <v>45</v>
      </c>
      <c r="O113" s="9" t="s">
        <v>46</v>
      </c>
      <c r="P113" s="9" t="s">
        <v>413</v>
      </c>
      <c r="Q113" s="9" t="s">
        <v>577</v>
      </c>
    </row>
    <row r="114" customFormat="false" ht="15" hidden="false" customHeight="false" outlineLevel="0" collapsed="false">
      <c r="A114" s="15" t="s">
        <v>578</v>
      </c>
      <c r="B114" s="4" t="s">
        <v>579</v>
      </c>
      <c r="C114" s="4" t="s">
        <v>580</v>
      </c>
      <c r="D114" s="15" t="s">
        <v>270</v>
      </c>
      <c r="E114" s="15" t="s">
        <v>271</v>
      </c>
      <c r="F114" s="16" t="n">
        <v>150000</v>
      </c>
      <c r="G114" s="15" t="s">
        <v>35</v>
      </c>
      <c r="H114" s="17" t="s">
        <v>23</v>
      </c>
      <c r="I114" s="17" t="s">
        <v>24</v>
      </c>
      <c r="J114" s="4" t="s">
        <v>347</v>
      </c>
      <c r="K114" s="19" t="n">
        <v>99.8</v>
      </c>
      <c r="L114" s="15" t="s">
        <v>45</v>
      </c>
      <c r="M114" s="15" t="s">
        <v>45</v>
      </c>
      <c r="N114" s="15" t="s">
        <v>26</v>
      </c>
      <c r="O114" s="4" t="s">
        <v>173</v>
      </c>
      <c r="P114" s="4" t="s">
        <v>342</v>
      </c>
      <c r="Q114" s="4" t="s">
        <v>581</v>
      </c>
    </row>
    <row r="115" customFormat="false" ht="15" hidden="false" customHeight="false" outlineLevel="0" collapsed="false">
      <c r="A115" s="20" t="s">
        <v>582</v>
      </c>
      <c r="B115" s="9" t="s">
        <v>583</v>
      </c>
      <c r="C115" s="9" t="s">
        <v>584</v>
      </c>
      <c r="D115" s="20" t="s">
        <v>101</v>
      </c>
      <c r="E115" s="20" t="s">
        <v>166</v>
      </c>
      <c r="F115" s="21" t="n">
        <v>1150000</v>
      </c>
      <c r="G115" s="20" t="s">
        <v>71</v>
      </c>
      <c r="H115" s="17" t="s">
        <v>23</v>
      </c>
      <c r="I115" s="18" t="s">
        <v>54</v>
      </c>
      <c r="J115" s="9" t="s">
        <v>347</v>
      </c>
      <c r="K115" s="23" t="n">
        <v>99.99</v>
      </c>
      <c r="L115" s="20" t="s">
        <v>26</v>
      </c>
      <c r="M115" s="20" t="s">
        <v>45</v>
      </c>
      <c r="N115" s="20" t="s">
        <v>45</v>
      </c>
      <c r="O115" s="9" t="s">
        <v>173</v>
      </c>
      <c r="P115" s="9" t="s">
        <v>28</v>
      </c>
      <c r="Q115" s="9" t="s">
        <v>585</v>
      </c>
    </row>
    <row r="116" customFormat="false" ht="15" hidden="false" customHeight="false" outlineLevel="0" collapsed="false">
      <c r="A116" s="15" t="s">
        <v>586</v>
      </c>
      <c r="B116" s="4" t="s">
        <v>587</v>
      </c>
      <c r="C116" s="4" t="s">
        <v>588</v>
      </c>
      <c r="D116" s="15" t="s">
        <v>270</v>
      </c>
      <c r="E116" s="15" t="s">
        <v>271</v>
      </c>
      <c r="F116" s="16" t="n">
        <v>1400000</v>
      </c>
      <c r="G116" s="15" t="s">
        <v>35</v>
      </c>
      <c r="H116" s="17" t="s">
        <v>23</v>
      </c>
      <c r="I116" s="18" t="s">
        <v>54</v>
      </c>
      <c r="J116" s="4" t="s">
        <v>44</v>
      </c>
      <c r="K116" s="19" t="n">
        <v>97</v>
      </c>
      <c r="L116" s="15" t="s">
        <v>26</v>
      </c>
      <c r="M116" s="15" t="s">
        <v>45</v>
      </c>
      <c r="N116" s="15" t="s">
        <v>45</v>
      </c>
      <c r="O116" s="4" t="s">
        <v>27</v>
      </c>
      <c r="P116" s="4" t="s">
        <v>413</v>
      </c>
      <c r="Q116" s="4" t="s">
        <v>589</v>
      </c>
    </row>
    <row r="117" customFormat="false" ht="15" hidden="false" customHeight="false" outlineLevel="0" collapsed="false">
      <c r="A117" s="20" t="s">
        <v>590</v>
      </c>
      <c r="B117" s="9" t="s">
        <v>591</v>
      </c>
      <c r="C117" s="9" t="s">
        <v>592</v>
      </c>
      <c r="D117" s="20" t="s">
        <v>20</v>
      </c>
      <c r="E117" s="20" t="s">
        <v>43</v>
      </c>
      <c r="F117" s="21" t="n">
        <v>2250000</v>
      </c>
      <c r="G117" s="20" t="s">
        <v>22</v>
      </c>
      <c r="H117" s="18" t="s">
        <v>63</v>
      </c>
      <c r="I117" s="17" t="s">
        <v>24</v>
      </c>
      <c r="J117" s="9" t="s">
        <v>55</v>
      </c>
      <c r="K117" s="23" t="n">
        <v>98</v>
      </c>
      <c r="L117" s="20" t="s">
        <v>45</v>
      </c>
      <c r="M117" s="20" t="s">
        <v>45</v>
      </c>
      <c r="N117" s="20" t="s">
        <v>45</v>
      </c>
      <c r="O117" s="9" t="s">
        <v>173</v>
      </c>
      <c r="P117" s="9" t="s">
        <v>195</v>
      </c>
      <c r="Q117" s="9" t="s">
        <v>593</v>
      </c>
    </row>
    <row r="118" customFormat="false" ht="15" hidden="false" customHeight="false" outlineLevel="0" collapsed="false">
      <c r="A118" s="15" t="s">
        <v>594</v>
      </c>
      <c r="B118" s="4" t="s">
        <v>595</v>
      </c>
      <c r="C118" s="4" t="s">
        <v>596</v>
      </c>
      <c r="D118" s="15" t="s">
        <v>270</v>
      </c>
      <c r="E118" s="15" t="s">
        <v>271</v>
      </c>
      <c r="F118" s="16" t="n">
        <v>2050000</v>
      </c>
      <c r="G118" s="15" t="s">
        <v>35</v>
      </c>
      <c r="H118" s="17" t="s">
        <v>23</v>
      </c>
      <c r="I118" s="17" t="s">
        <v>24</v>
      </c>
      <c r="J118" s="4" t="s">
        <v>55</v>
      </c>
      <c r="K118" s="19" t="n">
        <v>98</v>
      </c>
      <c r="L118" s="15" t="s">
        <v>26</v>
      </c>
      <c r="M118" s="15" t="s">
        <v>45</v>
      </c>
      <c r="N118" s="15" t="s">
        <v>45</v>
      </c>
      <c r="O118" s="4" t="s">
        <v>27</v>
      </c>
      <c r="P118" s="4" t="s">
        <v>413</v>
      </c>
      <c r="Q118" s="4" t="s">
        <v>597</v>
      </c>
    </row>
    <row r="119" customFormat="false" ht="15" hidden="false" customHeight="false" outlineLevel="0" collapsed="false">
      <c r="A119" s="20" t="s">
        <v>598</v>
      </c>
      <c r="B119" s="9" t="s">
        <v>599</v>
      </c>
      <c r="C119" s="9" t="s">
        <v>600</v>
      </c>
      <c r="D119" s="20" t="s">
        <v>33</v>
      </c>
      <c r="E119" s="20" t="s">
        <v>172</v>
      </c>
      <c r="F119" s="21" t="n">
        <v>850000</v>
      </c>
      <c r="G119" s="20" t="s">
        <v>22</v>
      </c>
      <c r="H119" s="22" t="s">
        <v>131</v>
      </c>
      <c r="I119" s="22" t="s">
        <v>115</v>
      </c>
      <c r="J119" s="9" t="s">
        <v>25</v>
      </c>
      <c r="K119" s="23" t="n">
        <v>98</v>
      </c>
      <c r="L119" s="20" t="s">
        <v>26</v>
      </c>
      <c r="M119" s="20" t="s">
        <v>45</v>
      </c>
      <c r="N119" s="20" t="s">
        <v>26</v>
      </c>
      <c r="O119" s="9" t="s">
        <v>173</v>
      </c>
      <c r="P119" s="9" t="s">
        <v>155</v>
      </c>
      <c r="Q119" s="9" t="s">
        <v>601</v>
      </c>
    </row>
    <row r="120" customFormat="false" ht="15" hidden="false" customHeight="false" outlineLevel="0" collapsed="false">
      <c r="A120" s="15" t="s">
        <v>602</v>
      </c>
      <c r="B120" s="4" t="s">
        <v>603</v>
      </c>
      <c r="C120" s="4" t="s">
        <v>604</v>
      </c>
      <c r="D120" s="15" t="s">
        <v>20</v>
      </c>
      <c r="E120" s="15" t="s">
        <v>43</v>
      </c>
      <c r="F120" s="16" t="n">
        <v>1900000</v>
      </c>
      <c r="G120" s="15" t="s">
        <v>22</v>
      </c>
      <c r="H120" s="17" t="s">
        <v>23</v>
      </c>
      <c r="I120" s="18" t="s">
        <v>54</v>
      </c>
      <c r="J120" s="4" t="s">
        <v>36</v>
      </c>
      <c r="K120" s="19" t="n">
        <v>99</v>
      </c>
      <c r="L120" s="15" t="s">
        <v>45</v>
      </c>
      <c r="M120" s="15" t="s">
        <v>26</v>
      </c>
      <c r="N120" s="15" t="s">
        <v>45</v>
      </c>
      <c r="O120" s="4" t="s">
        <v>46</v>
      </c>
      <c r="P120" s="4" t="s">
        <v>323</v>
      </c>
      <c r="Q120" s="4" t="s">
        <v>605</v>
      </c>
    </row>
    <row r="121" customFormat="false" ht="15" hidden="false" customHeight="false" outlineLevel="0" collapsed="false">
      <c r="A121" s="20" t="s">
        <v>606</v>
      </c>
      <c r="B121" s="9" t="s">
        <v>607</v>
      </c>
      <c r="C121" s="9" t="s">
        <v>608</v>
      </c>
      <c r="D121" s="20" t="s">
        <v>121</v>
      </c>
      <c r="E121" s="20" t="s">
        <v>122</v>
      </c>
      <c r="F121" s="21" t="n">
        <v>2550000</v>
      </c>
      <c r="G121" s="20" t="s">
        <v>71</v>
      </c>
      <c r="H121" s="17" t="s">
        <v>23</v>
      </c>
      <c r="I121" s="17" t="s">
        <v>24</v>
      </c>
      <c r="J121" s="9" t="s">
        <v>55</v>
      </c>
      <c r="K121" s="23" t="n">
        <v>97</v>
      </c>
      <c r="L121" s="20" t="s">
        <v>45</v>
      </c>
      <c r="M121" s="20" t="s">
        <v>45</v>
      </c>
      <c r="N121" s="20" t="s">
        <v>45</v>
      </c>
      <c r="O121" s="9" t="s">
        <v>173</v>
      </c>
      <c r="P121" s="9" t="s">
        <v>132</v>
      </c>
      <c r="Q121" s="9" t="s">
        <v>609</v>
      </c>
    </row>
    <row r="122" customFormat="false" ht="15" hidden="false" customHeight="false" outlineLevel="0" collapsed="false">
      <c r="A122" s="15" t="s">
        <v>610</v>
      </c>
      <c r="B122" s="4" t="s">
        <v>611</v>
      </c>
      <c r="C122" s="4" t="s">
        <v>612</v>
      </c>
      <c r="D122" s="15" t="s">
        <v>108</v>
      </c>
      <c r="E122" s="15" t="s">
        <v>109</v>
      </c>
      <c r="F122" s="16" t="n">
        <v>1000000</v>
      </c>
      <c r="G122" s="15" t="s">
        <v>22</v>
      </c>
      <c r="H122" s="17" t="s">
        <v>23</v>
      </c>
      <c r="I122" s="22" t="s">
        <v>115</v>
      </c>
      <c r="J122" s="4" t="s">
        <v>55</v>
      </c>
      <c r="K122" s="19" t="n">
        <v>99.9</v>
      </c>
      <c r="L122" s="15" t="s">
        <v>45</v>
      </c>
      <c r="M122" s="15" t="s">
        <v>45</v>
      </c>
      <c r="N122" s="15" t="s">
        <v>26</v>
      </c>
      <c r="O122" s="4" t="s">
        <v>46</v>
      </c>
      <c r="P122" s="4" t="s">
        <v>28</v>
      </c>
      <c r="Q122" s="4" t="s">
        <v>613</v>
      </c>
    </row>
    <row r="123" customFormat="false" ht="15" hidden="false" customHeight="false" outlineLevel="0" collapsed="false">
      <c r="A123" s="20" t="s">
        <v>614</v>
      </c>
      <c r="B123" s="9" t="s">
        <v>615</v>
      </c>
      <c r="C123" s="9" t="s">
        <v>616</v>
      </c>
      <c r="D123" s="20" t="s">
        <v>352</v>
      </c>
      <c r="E123" s="20" t="s">
        <v>353</v>
      </c>
      <c r="F123" s="21" t="n">
        <v>1600000</v>
      </c>
      <c r="G123" s="20" t="s">
        <v>35</v>
      </c>
      <c r="H123" s="22" t="s">
        <v>131</v>
      </c>
      <c r="I123" s="18" t="s">
        <v>54</v>
      </c>
      <c r="J123" s="9" t="s">
        <v>25</v>
      </c>
      <c r="K123" s="23" t="n">
        <v>99.5</v>
      </c>
      <c r="L123" s="20" t="s">
        <v>26</v>
      </c>
      <c r="M123" s="20" t="s">
        <v>45</v>
      </c>
      <c r="N123" s="20" t="s">
        <v>26</v>
      </c>
      <c r="O123" s="9" t="s">
        <v>173</v>
      </c>
      <c r="P123" s="9" t="s">
        <v>143</v>
      </c>
      <c r="Q123" s="9" t="s">
        <v>617</v>
      </c>
    </row>
    <row r="124" customFormat="false" ht="15" hidden="false" customHeight="false" outlineLevel="0" collapsed="false">
      <c r="A124" s="15" t="s">
        <v>618</v>
      </c>
      <c r="B124" s="4" t="s">
        <v>619</v>
      </c>
      <c r="C124" s="4" t="s">
        <v>620</v>
      </c>
      <c r="D124" s="15" t="s">
        <v>121</v>
      </c>
      <c r="E124" s="15" t="s">
        <v>122</v>
      </c>
      <c r="F124" s="16" t="n">
        <v>3000000</v>
      </c>
      <c r="G124" s="15" t="s">
        <v>71</v>
      </c>
      <c r="H124" s="17" t="s">
        <v>23</v>
      </c>
      <c r="I124" s="22" t="s">
        <v>115</v>
      </c>
      <c r="J124" s="4" t="s">
        <v>36</v>
      </c>
      <c r="K124" s="19" t="n">
        <v>99.8</v>
      </c>
      <c r="L124" s="15" t="s">
        <v>45</v>
      </c>
      <c r="M124" s="15" t="s">
        <v>45</v>
      </c>
      <c r="N124" s="15" t="s">
        <v>26</v>
      </c>
      <c r="O124" s="4" t="s">
        <v>173</v>
      </c>
      <c r="P124" s="4" t="s">
        <v>28</v>
      </c>
      <c r="Q124" s="4" t="s">
        <v>621</v>
      </c>
    </row>
    <row r="125" customFormat="false" ht="15" hidden="false" customHeight="false" outlineLevel="0" collapsed="false">
      <c r="A125" s="20" t="s">
        <v>622</v>
      </c>
      <c r="B125" s="9" t="s">
        <v>623</v>
      </c>
      <c r="C125" s="9" t="s">
        <v>624</v>
      </c>
      <c r="D125" s="20" t="s">
        <v>292</v>
      </c>
      <c r="E125" s="20" t="s">
        <v>293</v>
      </c>
      <c r="F125" s="21" t="n">
        <v>2100000</v>
      </c>
      <c r="G125" s="20" t="s">
        <v>22</v>
      </c>
      <c r="H125" s="17" t="s">
        <v>23</v>
      </c>
      <c r="I125" s="17" t="s">
        <v>24</v>
      </c>
      <c r="J125" s="9" t="s">
        <v>347</v>
      </c>
      <c r="K125" s="23" t="n">
        <v>99.99</v>
      </c>
      <c r="L125" s="20" t="s">
        <v>26</v>
      </c>
      <c r="M125" s="20" t="s">
        <v>45</v>
      </c>
      <c r="N125" s="20" t="s">
        <v>26</v>
      </c>
      <c r="O125" s="9" t="s">
        <v>173</v>
      </c>
      <c r="P125" s="9" t="s">
        <v>37</v>
      </c>
      <c r="Q125" s="9" t="s">
        <v>625</v>
      </c>
    </row>
    <row r="126" customFormat="false" ht="15" hidden="false" customHeight="false" outlineLevel="0" collapsed="false">
      <c r="A126" s="15" t="s">
        <v>626</v>
      </c>
      <c r="B126" s="4" t="s">
        <v>627</v>
      </c>
      <c r="C126" s="4" t="s">
        <v>628</v>
      </c>
      <c r="D126" s="15" t="s">
        <v>33</v>
      </c>
      <c r="E126" s="15" t="s">
        <v>172</v>
      </c>
      <c r="F126" s="16" t="n">
        <v>600000</v>
      </c>
      <c r="G126" s="15" t="s">
        <v>35</v>
      </c>
      <c r="H126" s="22" t="s">
        <v>131</v>
      </c>
      <c r="I126" s="17" t="s">
        <v>24</v>
      </c>
      <c r="J126" s="4" t="s">
        <v>25</v>
      </c>
      <c r="K126" s="19" t="n">
        <v>98.5</v>
      </c>
      <c r="L126" s="15" t="s">
        <v>45</v>
      </c>
      <c r="M126" s="15" t="s">
        <v>45</v>
      </c>
      <c r="N126" s="15" t="s">
        <v>45</v>
      </c>
      <c r="O126" s="4" t="s">
        <v>27</v>
      </c>
      <c r="P126" s="4" t="s">
        <v>28</v>
      </c>
      <c r="Q126" s="4" t="s">
        <v>629</v>
      </c>
    </row>
    <row r="127" customFormat="false" ht="15" hidden="false" customHeight="false" outlineLevel="0" collapsed="false">
      <c r="A127" s="20" t="s">
        <v>630</v>
      </c>
      <c r="B127" s="9" t="s">
        <v>631</v>
      </c>
      <c r="C127" s="9" t="s">
        <v>632</v>
      </c>
      <c r="D127" s="20" t="s">
        <v>340</v>
      </c>
      <c r="E127" s="20" t="s">
        <v>341</v>
      </c>
      <c r="F127" s="21" t="n">
        <v>2200000</v>
      </c>
      <c r="G127" s="20" t="s">
        <v>71</v>
      </c>
      <c r="H127" s="22" t="s">
        <v>131</v>
      </c>
      <c r="I127" s="17" t="s">
        <v>24</v>
      </c>
      <c r="J127" s="9" t="s">
        <v>44</v>
      </c>
      <c r="K127" s="23" t="n">
        <v>99</v>
      </c>
      <c r="L127" s="20" t="s">
        <v>45</v>
      </c>
      <c r="M127" s="20" t="s">
        <v>45</v>
      </c>
      <c r="N127" s="20" t="s">
        <v>45</v>
      </c>
      <c r="O127" s="9" t="s">
        <v>46</v>
      </c>
      <c r="P127" s="9" t="s">
        <v>72</v>
      </c>
      <c r="Q127" s="9" t="s">
        <v>633</v>
      </c>
    </row>
    <row r="128" customFormat="false" ht="15" hidden="false" customHeight="false" outlineLevel="0" collapsed="false">
      <c r="A128" s="15" t="s">
        <v>634</v>
      </c>
      <c r="B128" s="4" t="s">
        <v>635</v>
      </c>
      <c r="C128" s="4" t="s">
        <v>636</v>
      </c>
      <c r="D128" s="15" t="s">
        <v>270</v>
      </c>
      <c r="E128" s="15" t="s">
        <v>271</v>
      </c>
      <c r="F128" s="16" t="n">
        <v>2250000</v>
      </c>
      <c r="G128" s="15" t="s">
        <v>71</v>
      </c>
      <c r="H128" s="22" t="s">
        <v>131</v>
      </c>
      <c r="I128" s="18" t="s">
        <v>54</v>
      </c>
      <c r="J128" s="4" t="s">
        <v>55</v>
      </c>
      <c r="K128" s="19" t="n">
        <v>97</v>
      </c>
      <c r="L128" s="15" t="s">
        <v>26</v>
      </c>
      <c r="M128" s="15" t="s">
        <v>45</v>
      </c>
      <c r="N128" s="15" t="s">
        <v>45</v>
      </c>
      <c r="O128" s="4" t="s">
        <v>27</v>
      </c>
      <c r="P128" s="4" t="s">
        <v>96</v>
      </c>
      <c r="Q128" s="4" t="s">
        <v>637</v>
      </c>
    </row>
    <row r="129" customFormat="false" ht="15" hidden="false" customHeight="false" outlineLevel="0" collapsed="false">
      <c r="A129" s="20" t="s">
        <v>638</v>
      </c>
      <c r="B129" s="9" t="s">
        <v>639</v>
      </c>
      <c r="C129" s="9" t="s">
        <v>640</v>
      </c>
      <c r="D129" s="20" t="s">
        <v>69</v>
      </c>
      <c r="E129" s="20" t="s">
        <v>286</v>
      </c>
      <c r="F129" s="21" t="n">
        <v>850000</v>
      </c>
      <c r="G129" s="20" t="s">
        <v>35</v>
      </c>
      <c r="H129" s="17" t="s">
        <v>23</v>
      </c>
      <c r="I129" s="18" t="s">
        <v>54</v>
      </c>
      <c r="J129" s="9" t="s">
        <v>347</v>
      </c>
      <c r="K129" s="23" t="n">
        <v>99.95</v>
      </c>
      <c r="L129" s="20" t="s">
        <v>26</v>
      </c>
      <c r="M129" s="20" t="s">
        <v>45</v>
      </c>
      <c r="N129" s="20" t="s">
        <v>45</v>
      </c>
      <c r="O129" s="9" t="s">
        <v>27</v>
      </c>
      <c r="P129" s="9" t="s">
        <v>155</v>
      </c>
      <c r="Q129" s="9" t="s">
        <v>641</v>
      </c>
    </row>
    <row r="130" customFormat="false" ht="15" hidden="false" customHeight="false" outlineLevel="0" collapsed="false">
      <c r="A130" s="15" t="s">
        <v>642</v>
      </c>
      <c r="B130" s="4" t="s">
        <v>643</v>
      </c>
      <c r="C130" s="4" t="s">
        <v>644</v>
      </c>
      <c r="D130" s="15" t="s">
        <v>69</v>
      </c>
      <c r="E130" s="15" t="s">
        <v>286</v>
      </c>
      <c r="F130" s="16" t="n">
        <v>600000</v>
      </c>
      <c r="G130" s="15" t="s">
        <v>71</v>
      </c>
      <c r="H130" s="17" t="s">
        <v>23</v>
      </c>
      <c r="I130" s="18" t="s">
        <v>54</v>
      </c>
      <c r="J130" s="4" t="s">
        <v>36</v>
      </c>
      <c r="K130" s="19" t="n">
        <v>97</v>
      </c>
      <c r="L130" s="15" t="s">
        <v>45</v>
      </c>
      <c r="M130" s="15" t="s">
        <v>45</v>
      </c>
      <c r="N130" s="15" t="s">
        <v>26</v>
      </c>
      <c r="O130" s="4" t="s">
        <v>173</v>
      </c>
      <c r="P130" s="4" t="s">
        <v>28</v>
      </c>
      <c r="Q130" s="4" t="s">
        <v>645</v>
      </c>
    </row>
    <row r="131" customFormat="false" ht="15" hidden="false" customHeight="false" outlineLevel="0" collapsed="false">
      <c r="A131" s="20" t="s">
        <v>646</v>
      </c>
      <c r="B131" s="9" t="s">
        <v>647</v>
      </c>
      <c r="C131" s="9" t="s">
        <v>648</v>
      </c>
      <c r="D131" s="20" t="s">
        <v>108</v>
      </c>
      <c r="E131" s="20" t="s">
        <v>109</v>
      </c>
      <c r="F131" s="21" t="n">
        <v>1050000</v>
      </c>
      <c r="G131" s="20" t="s">
        <v>22</v>
      </c>
      <c r="H131" s="17" t="s">
        <v>23</v>
      </c>
      <c r="I131" s="17" t="s">
        <v>24</v>
      </c>
      <c r="J131" s="9" t="s">
        <v>36</v>
      </c>
      <c r="K131" s="23" t="n">
        <v>99.9</v>
      </c>
      <c r="L131" s="20" t="s">
        <v>26</v>
      </c>
      <c r="M131" s="20" t="s">
        <v>45</v>
      </c>
      <c r="N131" s="20" t="s">
        <v>26</v>
      </c>
      <c r="O131" s="9" t="s">
        <v>46</v>
      </c>
      <c r="P131" s="9" t="s">
        <v>212</v>
      </c>
      <c r="Q131" s="9" t="s">
        <v>649</v>
      </c>
    </row>
    <row r="132" customFormat="false" ht="15" hidden="false" customHeight="false" outlineLevel="0" collapsed="false">
      <c r="A132" s="15" t="s">
        <v>650</v>
      </c>
      <c r="B132" s="4" t="s">
        <v>651</v>
      </c>
      <c r="C132" s="4" t="s">
        <v>652</v>
      </c>
      <c r="D132" s="15" t="s">
        <v>52</v>
      </c>
      <c r="E132" s="15" t="s">
        <v>53</v>
      </c>
      <c r="F132" s="16" t="n">
        <v>1500000</v>
      </c>
      <c r="G132" s="15" t="s">
        <v>71</v>
      </c>
      <c r="H132" s="18" t="s">
        <v>63</v>
      </c>
      <c r="I132" s="17" t="s">
        <v>24</v>
      </c>
      <c r="J132" s="4" t="s">
        <v>44</v>
      </c>
      <c r="K132" s="19" t="n">
        <v>99.5</v>
      </c>
      <c r="L132" s="15" t="s">
        <v>45</v>
      </c>
      <c r="M132" s="15" t="s">
        <v>45</v>
      </c>
      <c r="N132" s="15" t="s">
        <v>45</v>
      </c>
      <c r="O132" s="4" t="s">
        <v>27</v>
      </c>
      <c r="P132" s="4" t="s">
        <v>64</v>
      </c>
      <c r="Q132" s="4" t="s">
        <v>653</v>
      </c>
    </row>
    <row r="133" customFormat="false" ht="15" hidden="false" customHeight="false" outlineLevel="0" collapsed="false">
      <c r="A133" s="20" t="s">
        <v>654</v>
      </c>
      <c r="B133" s="9" t="s">
        <v>655</v>
      </c>
      <c r="C133" s="9" t="s">
        <v>656</v>
      </c>
      <c r="D133" s="20" t="s">
        <v>101</v>
      </c>
      <c r="E133" s="20" t="s">
        <v>166</v>
      </c>
      <c r="F133" s="21" t="n">
        <v>200000</v>
      </c>
      <c r="G133" s="20" t="s">
        <v>22</v>
      </c>
      <c r="H133" s="22" t="s">
        <v>131</v>
      </c>
      <c r="I133" s="17" t="s">
        <v>24</v>
      </c>
      <c r="J133" s="9" t="s">
        <v>347</v>
      </c>
      <c r="K133" s="23" t="n">
        <v>99.99</v>
      </c>
      <c r="L133" s="20" t="s">
        <v>26</v>
      </c>
      <c r="M133" s="20" t="s">
        <v>45</v>
      </c>
      <c r="N133" s="20" t="s">
        <v>26</v>
      </c>
      <c r="O133" s="9" t="s">
        <v>46</v>
      </c>
      <c r="P133" s="9" t="s">
        <v>96</v>
      </c>
      <c r="Q133" s="9" t="s">
        <v>657</v>
      </c>
    </row>
    <row r="134" customFormat="false" ht="15" hidden="false" customHeight="false" outlineLevel="0" collapsed="false">
      <c r="A134" s="15" t="s">
        <v>658</v>
      </c>
      <c r="B134" s="4" t="s">
        <v>659</v>
      </c>
      <c r="C134" s="4" t="s">
        <v>660</v>
      </c>
      <c r="D134" s="15" t="s">
        <v>33</v>
      </c>
      <c r="E134" s="15" t="s">
        <v>172</v>
      </c>
      <c r="F134" s="16" t="n">
        <v>1750000</v>
      </c>
      <c r="G134" s="15" t="s">
        <v>35</v>
      </c>
      <c r="H134" s="17" t="s">
        <v>23</v>
      </c>
      <c r="I134" s="18" t="s">
        <v>54</v>
      </c>
      <c r="J134" s="4" t="s">
        <v>36</v>
      </c>
      <c r="K134" s="19" t="n">
        <v>99.8</v>
      </c>
      <c r="L134" s="15" t="s">
        <v>26</v>
      </c>
      <c r="M134" s="15" t="s">
        <v>26</v>
      </c>
      <c r="N134" s="15" t="s">
        <v>26</v>
      </c>
      <c r="O134" s="4" t="s">
        <v>173</v>
      </c>
      <c r="P134" s="4" t="s">
        <v>132</v>
      </c>
      <c r="Q134" s="4" t="s">
        <v>661</v>
      </c>
    </row>
    <row r="135" customFormat="false" ht="15" hidden="false" customHeight="false" outlineLevel="0" collapsed="false">
      <c r="A135" s="20" t="s">
        <v>662</v>
      </c>
      <c r="B135" s="9" t="s">
        <v>663</v>
      </c>
      <c r="C135" s="9" t="s">
        <v>664</v>
      </c>
      <c r="D135" s="20" t="s">
        <v>33</v>
      </c>
      <c r="E135" s="20" t="s">
        <v>172</v>
      </c>
      <c r="F135" s="21" t="n">
        <v>750000</v>
      </c>
      <c r="G135" s="20" t="s">
        <v>71</v>
      </c>
      <c r="H135" s="17" t="s">
        <v>23</v>
      </c>
      <c r="I135" s="17" t="s">
        <v>24</v>
      </c>
      <c r="J135" s="9" t="s">
        <v>25</v>
      </c>
      <c r="K135" s="23" t="n">
        <v>99.8</v>
      </c>
      <c r="L135" s="20" t="s">
        <v>26</v>
      </c>
      <c r="M135" s="20" t="s">
        <v>26</v>
      </c>
      <c r="N135" s="20" t="s">
        <v>26</v>
      </c>
      <c r="O135" s="9" t="s">
        <v>27</v>
      </c>
      <c r="P135" s="9" t="s">
        <v>37</v>
      </c>
      <c r="Q135" s="9" t="s">
        <v>665</v>
      </c>
    </row>
    <row r="136" customFormat="false" ht="15" hidden="false" customHeight="false" outlineLevel="0" collapsed="false">
      <c r="A136" s="15" t="s">
        <v>666</v>
      </c>
      <c r="B136" s="4" t="s">
        <v>667</v>
      </c>
      <c r="C136" s="4" t="s">
        <v>668</v>
      </c>
      <c r="D136" s="15" t="s">
        <v>292</v>
      </c>
      <c r="E136" s="15" t="s">
        <v>293</v>
      </c>
      <c r="F136" s="16" t="n">
        <v>2350000</v>
      </c>
      <c r="G136" s="15" t="s">
        <v>71</v>
      </c>
      <c r="H136" s="17" t="s">
        <v>23</v>
      </c>
      <c r="I136" s="18" t="s">
        <v>54</v>
      </c>
      <c r="J136" s="4" t="s">
        <v>55</v>
      </c>
      <c r="K136" s="19" t="n">
        <v>99.5</v>
      </c>
      <c r="L136" s="15" t="s">
        <v>26</v>
      </c>
      <c r="M136" s="15" t="s">
        <v>45</v>
      </c>
      <c r="N136" s="15" t="s">
        <v>26</v>
      </c>
      <c r="O136" s="4" t="s">
        <v>173</v>
      </c>
      <c r="P136" s="4" t="s">
        <v>413</v>
      </c>
      <c r="Q136" s="4" t="s">
        <v>669</v>
      </c>
    </row>
    <row r="137" customFormat="false" ht="15" hidden="false" customHeight="false" outlineLevel="0" collapsed="false">
      <c r="A137" s="20" t="s">
        <v>670</v>
      </c>
      <c r="B137" s="9" t="s">
        <v>671</v>
      </c>
      <c r="C137" s="9" t="s">
        <v>672</v>
      </c>
      <c r="D137" s="20" t="s">
        <v>108</v>
      </c>
      <c r="E137" s="20" t="s">
        <v>109</v>
      </c>
      <c r="F137" s="21" t="n">
        <v>2400000</v>
      </c>
      <c r="G137" s="20" t="s">
        <v>35</v>
      </c>
      <c r="H137" s="17" t="s">
        <v>23</v>
      </c>
      <c r="I137" s="18" t="s">
        <v>54</v>
      </c>
      <c r="J137" s="9" t="s">
        <v>36</v>
      </c>
      <c r="K137" s="23" t="n">
        <v>98.5</v>
      </c>
      <c r="L137" s="20" t="s">
        <v>45</v>
      </c>
      <c r="M137" s="20" t="s">
        <v>26</v>
      </c>
      <c r="N137" s="20" t="s">
        <v>45</v>
      </c>
      <c r="O137" s="9" t="s">
        <v>27</v>
      </c>
      <c r="P137" s="9" t="s">
        <v>212</v>
      </c>
      <c r="Q137" s="9" t="s">
        <v>673</v>
      </c>
    </row>
    <row r="138" customFormat="false" ht="15" hidden="false" customHeight="false" outlineLevel="0" collapsed="false">
      <c r="A138" s="15" t="s">
        <v>674</v>
      </c>
      <c r="B138" s="4" t="s">
        <v>675</v>
      </c>
      <c r="C138" s="4" t="s">
        <v>676</v>
      </c>
      <c r="D138" s="15" t="s">
        <v>270</v>
      </c>
      <c r="E138" s="15" t="s">
        <v>271</v>
      </c>
      <c r="F138" s="16" t="n">
        <v>1500000</v>
      </c>
      <c r="G138" s="15" t="s">
        <v>35</v>
      </c>
      <c r="H138" s="17" t="s">
        <v>23</v>
      </c>
      <c r="I138" s="18" t="s">
        <v>54</v>
      </c>
      <c r="J138" s="4" t="s">
        <v>347</v>
      </c>
      <c r="K138" s="19" t="n">
        <v>99.99</v>
      </c>
      <c r="L138" s="15" t="s">
        <v>26</v>
      </c>
      <c r="M138" s="15" t="s">
        <v>45</v>
      </c>
      <c r="N138" s="15" t="s">
        <v>45</v>
      </c>
      <c r="O138" s="4" t="s">
        <v>27</v>
      </c>
      <c r="P138" s="4" t="s">
        <v>143</v>
      </c>
      <c r="Q138" s="4" t="s">
        <v>677</v>
      </c>
    </row>
    <row r="139" customFormat="false" ht="15" hidden="false" customHeight="false" outlineLevel="0" collapsed="false">
      <c r="A139" s="20" t="s">
        <v>678</v>
      </c>
      <c r="B139" s="9" t="s">
        <v>679</v>
      </c>
      <c r="C139" s="9" t="s">
        <v>680</v>
      </c>
      <c r="D139" s="20" t="s">
        <v>340</v>
      </c>
      <c r="E139" s="20" t="s">
        <v>341</v>
      </c>
      <c r="F139" s="21" t="n">
        <v>2950000</v>
      </c>
      <c r="G139" s="20" t="s">
        <v>35</v>
      </c>
      <c r="H139" s="17" t="s">
        <v>23</v>
      </c>
      <c r="I139" s="17" t="s">
        <v>24</v>
      </c>
      <c r="J139" s="9" t="s">
        <v>55</v>
      </c>
      <c r="K139" s="23" t="n">
        <v>99.95</v>
      </c>
      <c r="L139" s="20" t="s">
        <v>26</v>
      </c>
      <c r="M139" s="20" t="s">
        <v>26</v>
      </c>
      <c r="N139" s="20" t="s">
        <v>45</v>
      </c>
      <c r="O139" s="9" t="s">
        <v>46</v>
      </c>
      <c r="P139" s="9" t="s">
        <v>28</v>
      </c>
      <c r="Q139" s="9" t="s">
        <v>681</v>
      </c>
    </row>
    <row r="140" customFormat="false" ht="15" hidden="false" customHeight="false" outlineLevel="0" collapsed="false">
      <c r="A140" s="15" t="s">
        <v>682</v>
      </c>
      <c r="B140" s="4" t="s">
        <v>683</v>
      </c>
      <c r="C140" s="4" t="s">
        <v>684</v>
      </c>
      <c r="D140" s="15" t="s">
        <v>340</v>
      </c>
      <c r="E140" s="15" t="s">
        <v>341</v>
      </c>
      <c r="F140" s="16" t="n">
        <v>2350000</v>
      </c>
      <c r="G140" s="15" t="s">
        <v>22</v>
      </c>
      <c r="H140" s="24" t="s">
        <v>123</v>
      </c>
      <c r="I140" s="18" t="s">
        <v>54</v>
      </c>
      <c r="J140" s="4" t="s">
        <v>25</v>
      </c>
      <c r="K140" s="19" t="n">
        <v>99</v>
      </c>
      <c r="L140" s="15" t="s">
        <v>26</v>
      </c>
      <c r="M140" s="15" t="s">
        <v>26</v>
      </c>
      <c r="N140" s="15" t="s">
        <v>45</v>
      </c>
      <c r="O140" s="4" t="s">
        <v>27</v>
      </c>
      <c r="P140" s="4" t="s">
        <v>28</v>
      </c>
      <c r="Q140" s="4" t="s">
        <v>685</v>
      </c>
    </row>
    <row r="141" customFormat="false" ht="15" hidden="false" customHeight="false" outlineLevel="0" collapsed="false">
      <c r="A141" s="20" t="s">
        <v>686</v>
      </c>
      <c r="B141" s="9" t="s">
        <v>687</v>
      </c>
      <c r="C141" s="9" t="s">
        <v>688</v>
      </c>
      <c r="D141" s="20" t="s">
        <v>292</v>
      </c>
      <c r="E141" s="20" t="s">
        <v>293</v>
      </c>
      <c r="F141" s="21" t="n">
        <v>450000</v>
      </c>
      <c r="G141" s="20" t="s">
        <v>22</v>
      </c>
      <c r="H141" s="22" t="s">
        <v>131</v>
      </c>
      <c r="I141" s="22" t="s">
        <v>115</v>
      </c>
      <c r="J141" s="9" t="s">
        <v>25</v>
      </c>
      <c r="K141" s="23" t="n">
        <v>99</v>
      </c>
      <c r="L141" s="20" t="s">
        <v>26</v>
      </c>
      <c r="M141" s="20" t="s">
        <v>26</v>
      </c>
      <c r="N141" s="20" t="s">
        <v>45</v>
      </c>
      <c r="O141" s="9" t="s">
        <v>27</v>
      </c>
      <c r="P141" s="9" t="s">
        <v>37</v>
      </c>
      <c r="Q141" s="9" t="s">
        <v>689</v>
      </c>
    </row>
    <row r="142" customFormat="false" ht="15" hidden="false" customHeight="false" outlineLevel="0" collapsed="false">
      <c r="A142" s="15" t="s">
        <v>690</v>
      </c>
      <c r="B142" s="4" t="s">
        <v>691</v>
      </c>
      <c r="C142" s="4" t="s">
        <v>692</v>
      </c>
      <c r="D142" s="15" t="s">
        <v>292</v>
      </c>
      <c r="E142" s="15" t="s">
        <v>293</v>
      </c>
      <c r="F142" s="16" t="n">
        <v>1950000</v>
      </c>
      <c r="G142" s="15" t="s">
        <v>35</v>
      </c>
      <c r="H142" s="17" t="s">
        <v>23</v>
      </c>
      <c r="I142" s="17" t="s">
        <v>24</v>
      </c>
      <c r="J142" s="4" t="s">
        <v>44</v>
      </c>
      <c r="K142" s="19" t="n">
        <v>99</v>
      </c>
      <c r="L142" s="15" t="s">
        <v>26</v>
      </c>
      <c r="M142" s="15" t="s">
        <v>45</v>
      </c>
      <c r="N142" s="15" t="s">
        <v>26</v>
      </c>
      <c r="O142" s="4" t="s">
        <v>173</v>
      </c>
      <c r="P142" s="4" t="s">
        <v>143</v>
      </c>
      <c r="Q142" s="4" t="s">
        <v>693</v>
      </c>
    </row>
    <row r="143" customFormat="false" ht="15" hidden="false" customHeight="false" outlineLevel="0" collapsed="false">
      <c r="A143" s="20" t="s">
        <v>694</v>
      </c>
      <c r="B143" s="9" t="s">
        <v>695</v>
      </c>
      <c r="C143" s="9" t="s">
        <v>688</v>
      </c>
      <c r="D143" s="20" t="s">
        <v>20</v>
      </c>
      <c r="E143" s="20" t="s">
        <v>43</v>
      </c>
      <c r="F143" s="21" t="n">
        <v>1150000</v>
      </c>
      <c r="G143" s="20" t="s">
        <v>22</v>
      </c>
      <c r="H143" s="24" t="s">
        <v>123</v>
      </c>
      <c r="I143" s="18" t="s">
        <v>54</v>
      </c>
      <c r="J143" s="9" t="s">
        <v>25</v>
      </c>
      <c r="K143" s="23" t="n">
        <v>99.8</v>
      </c>
      <c r="L143" s="20" t="s">
        <v>26</v>
      </c>
      <c r="M143" s="20" t="s">
        <v>45</v>
      </c>
      <c r="N143" s="20" t="s">
        <v>26</v>
      </c>
      <c r="O143" s="9" t="s">
        <v>27</v>
      </c>
      <c r="P143" s="9" t="s">
        <v>143</v>
      </c>
      <c r="Q143" s="9" t="s">
        <v>696</v>
      </c>
    </row>
    <row r="144" customFormat="false" ht="15" hidden="false" customHeight="false" outlineLevel="0" collapsed="false">
      <c r="A144" s="15" t="s">
        <v>697</v>
      </c>
      <c r="B144" s="4" t="s">
        <v>698</v>
      </c>
      <c r="C144" s="4" t="s">
        <v>699</v>
      </c>
      <c r="D144" s="15" t="s">
        <v>292</v>
      </c>
      <c r="E144" s="15" t="s">
        <v>293</v>
      </c>
      <c r="F144" s="16" t="n">
        <v>2600000</v>
      </c>
      <c r="G144" s="15" t="s">
        <v>71</v>
      </c>
      <c r="H144" s="17" t="s">
        <v>23</v>
      </c>
      <c r="I144" s="22" t="s">
        <v>115</v>
      </c>
      <c r="J144" s="4" t="s">
        <v>44</v>
      </c>
      <c r="K144" s="19" t="n">
        <v>99.9</v>
      </c>
      <c r="L144" s="15" t="s">
        <v>26</v>
      </c>
      <c r="M144" s="15" t="s">
        <v>45</v>
      </c>
      <c r="N144" s="15" t="s">
        <v>45</v>
      </c>
      <c r="O144" s="4" t="s">
        <v>173</v>
      </c>
      <c r="P144" s="4" t="s">
        <v>700</v>
      </c>
      <c r="Q144" s="4" t="s">
        <v>701</v>
      </c>
    </row>
    <row r="145" customFormat="false" ht="15" hidden="false" customHeight="false" outlineLevel="0" collapsed="false">
      <c r="A145" s="20" t="s">
        <v>702</v>
      </c>
      <c r="B145" s="9" t="s">
        <v>703</v>
      </c>
      <c r="C145" s="9" t="s">
        <v>704</v>
      </c>
      <c r="D145" s="20" t="s">
        <v>121</v>
      </c>
      <c r="E145" s="20" t="s">
        <v>122</v>
      </c>
      <c r="F145" s="21" t="n">
        <v>1550000</v>
      </c>
      <c r="G145" s="20" t="s">
        <v>22</v>
      </c>
      <c r="H145" s="24" t="s">
        <v>123</v>
      </c>
      <c r="I145" s="18" t="s">
        <v>54</v>
      </c>
      <c r="J145" s="9" t="s">
        <v>347</v>
      </c>
      <c r="K145" s="23" t="n">
        <v>99.95</v>
      </c>
      <c r="L145" s="20" t="s">
        <v>26</v>
      </c>
      <c r="M145" s="20" t="s">
        <v>45</v>
      </c>
      <c r="N145" s="20" t="s">
        <v>26</v>
      </c>
      <c r="O145" s="9" t="s">
        <v>46</v>
      </c>
      <c r="P145" s="9" t="s">
        <v>413</v>
      </c>
      <c r="Q145" s="9" t="s">
        <v>705</v>
      </c>
    </row>
    <row r="146" customFormat="false" ht="15" hidden="false" customHeight="false" outlineLevel="0" collapsed="false">
      <c r="A146" s="15" t="s">
        <v>706</v>
      </c>
      <c r="B146" s="4" t="s">
        <v>707</v>
      </c>
      <c r="C146" s="4" t="s">
        <v>708</v>
      </c>
      <c r="D146" s="15" t="s">
        <v>340</v>
      </c>
      <c r="E146" s="15" t="s">
        <v>341</v>
      </c>
      <c r="F146" s="16" t="n">
        <v>1400000</v>
      </c>
      <c r="G146" s="15" t="s">
        <v>35</v>
      </c>
      <c r="H146" s="17" t="s">
        <v>23</v>
      </c>
      <c r="I146" s="18" t="s">
        <v>54</v>
      </c>
      <c r="J146" s="4" t="s">
        <v>44</v>
      </c>
      <c r="K146" s="19" t="n">
        <v>99.8</v>
      </c>
      <c r="L146" s="15" t="s">
        <v>45</v>
      </c>
      <c r="M146" s="15" t="s">
        <v>45</v>
      </c>
      <c r="N146" s="15" t="s">
        <v>26</v>
      </c>
      <c r="O146" s="4" t="s">
        <v>173</v>
      </c>
      <c r="P146" s="4" t="s">
        <v>212</v>
      </c>
      <c r="Q146" s="4" t="s">
        <v>709</v>
      </c>
    </row>
    <row r="147" customFormat="false" ht="15" hidden="false" customHeight="false" outlineLevel="0" collapsed="false">
      <c r="A147" s="20" t="s">
        <v>710</v>
      </c>
      <c r="B147" s="9" t="s">
        <v>711</v>
      </c>
      <c r="C147" s="9" t="s">
        <v>712</v>
      </c>
      <c r="D147" s="20" t="s">
        <v>121</v>
      </c>
      <c r="E147" s="20" t="s">
        <v>122</v>
      </c>
      <c r="F147" s="21" t="n">
        <v>900000</v>
      </c>
      <c r="G147" s="20" t="s">
        <v>71</v>
      </c>
      <c r="H147" s="17" t="s">
        <v>23</v>
      </c>
      <c r="I147" s="22" t="s">
        <v>115</v>
      </c>
      <c r="J147" s="9" t="s">
        <v>44</v>
      </c>
      <c r="K147" s="23" t="n">
        <v>99.8</v>
      </c>
      <c r="L147" s="20" t="s">
        <v>45</v>
      </c>
      <c r="M147" s="20" t="s">
        <v>45</v>
      </c>
      <c r="N147" s="20" t="s">
        <v>45</v>
      </c>
      <c r="O147" s="9" t="s">
        <v>173</v>
      </c>
      <c r="P147" s="9" t="s">
        <v>132</v>
      </c>
      <c r="Q147" s="9" t="s">
        <v>713</v>
      </c>
    </row>
    <row r="148" customFormat="false" ht="15" hidden="false" customHeight="false" outlineLevel="0" collapsed="false">
      <c r="A148" s="15" t="s">
        <v>714</v>
      </c>
      <c r="B148" s="4" t="s">
        <v>715</v>
      </c>
      <c r="C148" s="4" t="s">
        <v>716</v>
      </c>
      <c r="D148" s="15" t="s">
        <v>121</v>
      </c>
      <c r="E148" s="15" t="s">
        <v>122</v>
      </c>
      <c r="F148" s="16" t="n">
        <v>1550000</v>
      </c>
      <c r="G148" s="15" t="s">
        <v>35</v>
      </c>
      <c r="H148" s="17" t="s">
        <v>23</v>
      </c>
      <c r="I148" s="17" t="s">
        <v>24</v>
      </c>
      <c r="J148" s="4" t="s">
        <v>55</v>
      </c>
      <c r="K148" s="19" t="n">
        <v>98</v>
      </c>
      <c r="L148" s="15" t="s">
        <v>26</v>
      </c>
      <c r="M148" s="15" t="s">
        <v>45</v>
      </c>
      <c r="N148" s="15" t="s">
        <v>26</v>
      </c>
      <c r="O148" s="4" t="s">
        <v>173</v>
      </c>
      <c r="P148" s="4" t="s">
        <v>212</v>
      </c>
      <c r="Q148" s="4" t="s">
        <v>717</v>
      </c>
    </row>
    <row r="149" customFormat="false" ht="15" hidden="false" customHeight="false" outlineLevel="0" collapsed="false">
      <c r="A149" s="20" t="s">
        <v>718</v>
      </c>
      <c r="B149" s="9" t="s">
        <v>719</v>
      </c>
      <c r="C149" s="9" t="s">
        <v>720</v>
      </c>
      <c r="D149" s="20" t="s">
        <v>292</v>
      </c>
      <c r="E149" s="20" t="s">
        <v>293</v>
      </c>
      <c r="F149" s="21" t="n">
        <v>200000</v>
      </c>
      <c r="G149" s="20" t="s">
        <v>35</v>
      </c>
      <c r="H149" s="24" t="s">
        <v>123</v>
      </c>
      <c r="I149" s="17" t="s">
        <v>24</v>
      </c>
      <c r="J149" s="9" t="s">
        <v>44</v>
      </c>
      <c r="K149" s="23" t="n">
        <v>98.5</v>
      </c>
      <c r="L149" s="20" t="s">
        <v>45</v>
      </c>
      <c r="M149" s="20" t="s">
        <v>45</v>
      </c>
      <c r="N149" s="20" t="s">
        <v>45</v>
      </c>
      <c r="O149" s="9" t="s">
        <v>173</v>
      </c>
      <c r="P149" s="9" t="s">
        <v>28</v>
      </c>
      <c r="Q149" s="9" t="s">
        <v>721</v>
      </c>
    </row>
    <row r="150" customFormat="false" ht="15" hidden="false" customHeight="false" outlineLevel="0" collapsed="false">
      <c r="A150" s="15" t="s">
        <v>722</v>
      </c>
      <c r="B150" s="4" t="s">
        <v>723</v>
      </c>
      <c r="C150" s="4" t="s">
        <v>724</v>
      </c>
      <c r="D150" s="15" t="s">
        <v>52</v>
      </c>
      <c r="E150" s="15" t="s">
        <v>53</v>
      </c>
      <c r="F150" s="16" t="n">
        <v>1300000</v>
      </c>
      <c r="G150" s="15" t="s">
        <v>71</v>
      </c>
      <c r="H150" s="17" t="s">
        <v>23</v>
      </c>
      <c r="I150" s="18" t="s">
        <v>54</v>
      </c>
      <c r="J150" s="4" t="s">
        <v>25</v>
      </c>
      <c r="K150" s="19" t="n">
        <v>99</v>
      </c>
      <c r="L150" s="15" t="s">
        <v>26</v>
      </c>
      <c r="M150" s="15" t="s">
        <v>45</v>
      </c>
      <c r="N150" s="15" t="s">
        <v>26</v>
      </c>
      <c r="O150" s="4" t="s">
        <v>27</v>
      </c>
      <c r="P150" s="4" t="s">
        <v>37</v>
      </c>
      <c r="Q150" s="4" t="s">
        <v>725</v>
      </c>
    </row>
    <row r="151" customFormat="false" ht="15" hidden="false" customHeight="false" outlineLevel="0" collapsed="false">
      <c r="A151" s="20" t="s">
        <v>726</v>
      </c>
      <c r="B151" s="9" t="s">
        <v>727</v>
      </c>
      <c r="C151" s="9" t="s">
        <v>227</v>
      </c>
      <c r="D151" s="20" t="s">
        <v>69</v>
      </c>
      <c r="E151" s="20" t="s">
        <v>286</v>
      </c>
      <c r="F151" s="21" t="n">
        <v>1400000</v>
      </c>
      <c r="G151" s="20" t="s">
        <v>35</v>
      </c>
      <c r="H151" s="17" t="s">
        <v>23</v>
      </c>
      <c r="I151" s="17" t="s">
        <v>24</v>
      </c>
      <c r="J151" s="9" t="s">
        <v>25</v>
      </c>
      <c r="K151" s="23" t="n">
        <v>99.5</v>
      </c>
      <c r="L151" s="20" t="s">
        <v>26</v>
      </c>
      <c r="M151" s="20" t="s">
        <v>45</v>
      </c>
      <c r="N151" s="20" t="s">
        <v>26</v>
      </c>
      <c r="O151" s="9" t="s">
        <v>27</v>
      </c>
      <c r="P151" s="9" t="s">
        <v>28</v>
      </c>
      <c r="Q151" s="9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</cols>
  <sheetData>
    <row r="1" customFormat="false" ht="17.25" hidden="false" customHeight="true" outlineLevel="0" collapsed="false">
      <c r="A1" s="25" t="s">
        <v>728</v>
      </c>
      <c r="B1" s="25"/>
      <c r="C1" s="25"/>
      <c r="D1" s="25"/>
    </row>
    <row r="3" customFormat="false" ht="15" hidden="false" customHeight="true" outlineLevel="0" collapsed="false">
      <c r="A3" s="2" t="s">
        <v>729</v>
      </c>
      <c r="B3" s="2" t="s">
        <v>730</v>
      </c>
    </row>
    <row r="4" customFormat="false" ht="15" hidden="false" customHeight="true" outlineLevel="0" collapsed="false">
      <c r="A4" s="4" t="s">
        <v>731</v>
      </c>
      <c r="B4" s="4" t="n">
        <f aca="false">COUNTA('Bank Contracts'!A2:A151)</f>
        <v>150</v>
      </c>
    </row>
    <row r="5" customFormat="false" ht="15" hidden="false" customHeight="true" outlineLevel="0" collapsed="false">
      <c r="A5" s="9" t="s">
        <v>732</v>
      </c>
      <c r="B5" s="9" t="n">
        <f aca="false">COUNTIF('Bank Contracts'!H2:H151,"Active")</f>
        <v>102</v>
      </c>
    </row>
    <row r="6" customFormat="false" ht="15" hidden="false" customHeight="true" outlineLevel="0" collapsed="false">
      <c r="A6" s="4" t="s">
        <v>5</v>
      </c>
      <c r="B6" s="4" t="n">
        <f aca="false">SUM('Bank Contracts'!F2:F151)</f>
        <v>218420000</v>
      </c>
    </row>
    <row r="7" customFormat="false" ht="15" hidden="false" customHeight="true" outlineLevel="0" collapsed="false">
      <c r="A7" s="9" t="s">
        <v>733</v>
      </c>
      <c r="B7" s="9" t="n">
        <f aca="false">AVERAGE('Bank Contracts'!F2:F151)</f>
        <v>1456133.33333333</v>
      </c>
    </row>
    <row r="8" customFormat="false" ht="15" hidden="false" customHeight="true" outlineLevel="0" collapsed="false">
      <c r="A8" s="4" t="s">
        <v>734</v>
      </c>
      <c r="B8" s="26" t="n">
        <f aca="false">MAX('Bank Contracts'!F2:F151)</f>
        <v>5500000</v>
      </c>
    </row>
    <row r="9" customFormat="false" ht="15" hidden="false" customHeight="true" outlineLevel="0" collapsed="false">
      <c r="A9" s="9" t="s">
        <v>735</v>
      </c>
      <c r="B9" s="27" t="n">
        <f aca="false">MIN('Bank Contracts'!F2:F151)</f>
        <v>50000</v>
      </c>
    </row>
    <row r="10" customFormat="false" ht="15" hidden="false" customHeight="true" outlineLevel="0" collapsed="false">
      <c r="A10" s="4" t="s">
        <v>736</v>
      </c>
      <c r="B10" s="26" t="n">
        <f aca="false">COUNTIF('Bank Contracts'!I2:I151,"High")</f>
        <v>22</v>
      </c>
    </row>
    <row r="11" customFormat="false" ht="15" hidden="false" customHeight="true" outlineLevel="0" collapsed="false">
      <c r="A11" s="9" t="s">
        <v>737</v>
      </c>
      <c r="B11" s="27" t="n">
        <f aca="false">COUNTIF('Bank Contracts'!I2:I151,"Medium")</f>
        <v>58</v>
      </c>
    </row>
    <row r="12" customFormat="false" ht="15" hidden="false" customHeight="true" outlineLevel="0" collapsed="false">
      <c r="A12" s="4" t="s">
        <v>738</v>
      </c>
      <c r="B12" s="4" t="n">
        <f aca="false">COUNTIF('Bank Contracts'!I2:I151,"Low")</f>
        <v>70</v>
      </c>
    </row>
    <row r="13" customFormat="false" ht="15" hidden="false" customHeight="true" outlineLevel="0" collapsed="false">
      <c r="A13" s="9" t="s">
        <v>739</v>
      </c>
      <c r="B13" s="9" t="n">
        <f aca="false">COUNTIF('Bank Contracts'!H2:H151,"Expiring Soon")</f>
        <v>16</v>
      </c>
    </row>
    <row r="14" customFormat="false" ht="15" hidden="false" customHeight="true" outlineLevel="0" collapsed="false">
      <c r="A14" s="4" t="s">
        <v>740</v>
      </c>
      <c r="B14" s="4" t="n">
        <f aca="false">COUNTIF('Bank Contracts'!H2:H151,"Expired")</f>
        <v>16</v>
      </c>
    </row>
    <row r="15" customFormat="false" ht="15" hidden="false" customHeight="true" outlineLevel="0" collapsed="false">
      <c r="A15" s="9" t="s">
        <v>741</v>
      </c>
      <c r="B15" s="9" t="n">
        <f aca="false">COUNTIF('Bank Contracts'!H2:H151,"Pending")</f>
        <v>16</v>
      </c>
    </row>
    <row r="16" customFormat="false" ht="15" hidden="false" customHeight="true" outlineLevel="0" collapsed="false">
      <c r="A16" s="4" t="s">
        <v>742</v>
      </c>
      <c r="B16" s="4" t="n">
        <f aca="false">COUNTIF('Bank Contracts'!M2:M151,"Yes")</f>
        <v>44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2026-05-26T08:55:59Z</dcterms:created>
  <dc:creator>openpyxl</dc:creator>
  <dc:description/>
  <dc:language>en-US</dc:language>
  <cp:lastModifiedBy/>
  <dcterms:modified xsi:type="dcterms:W3CDTF">2026-05-26T09:00:40Z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